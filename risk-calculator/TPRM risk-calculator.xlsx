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ent Summary" sheetId="1" state="visible" r:id="rId3"/>
    <sheet name="Assessment" sheetId="2" state="visible" r:id="rId4"/>
    <sheet name="Scoring Matrix" sheetId="3" state="visible" r:id="rId5"/>
    <sheet name="Risk Calculation" sheetId="4" state="visible" r:id="rId6"/>
    <sheet name="Vendor Tiering" sheetId="5" state="visible" r:id="rId7"/>
    <sheet name="User Guide" sheetId="6" state="visible" r:id="rId8"/>
    <sheet name="Control Evaluation" sheetId="7" state="visible" r:id="rId9"/>
    <sheet name="Residual Risk"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<sst xmlns="http://schemas.openxmlformats.org/spreadsheetml/2006/main" count="293" uniqueCount="209">
  <si>
    <t xml:space="preserve">Third-Party Risk Assessment — Client Summary</t>
  </si>
  <si>
    <t xml:space="preserve">Decision Snapshot</t>
  </si>
  <si>
    <t xml:space="preserve">Vendor</t>
  </si>
  <si>
    <t xml:space="preserve">Service</t>
  </si>
  <si>
    <t xml:space="preserve">Assessment Status</t>
  </si>
  <si>
    <t xml:space="preserve">Inherent Risk Score</t>
  </si>
  <si>
    <t xml:space="preserve">Risk Rating</t>
  </si>
  <si>
    <t xml:space="preserve">Recommended Vendor Tier</t>
  </si>
  <si>
    <t xml:space="preserve">Due-Diligence Level</t>
  </si>
  <si>
    <t xml:space="preserve">Monitoring Frequency</t>
  </si>
  <si>
    <t xml:space="preserve">Override Indicators</t>
  </si>
  <si>
    <t xml:space="preserve">Override Review</t>
  </si>
  <si>
    <t xml:space="preserve">Risk Dimension Scores</t>
  </si>
  <si>
    <t xml:space="preserve">Dimension</t>
  </si>
  <si>
    <t xml:space="preserve">Score</t>
  </si>
  <si>
    <t xml:space="preserve">Data Sensitivity</t>
  </si>
  <si>
    <t xml:space="preserve">Data Volume</t>
  </si>
  <si>
    <t xml:space="preserve">Business Criticality</t>
  </si>
  <si>
    <t xml:space="preserve">Access &amp; Integration</t>
  </si>
  <si>
    <t xml:space="preserve">Fourth-Party Dependency</t>
  </si>
  <si>
    <t xml:space="preserve">Analyst Note</t>
  </si>
  <si>
    <t xml:space="preserve">This summary is designed for client-facing review. Inherent risk is assessed before considering control effectiveness. Any override indicator should be investigated, documented and approved through the organization's governance process rather than automatically changing the vendor tier.</t>
  </si>
  <si>
    <t xml:space="preserve">Control Effectiveness &amp; Residual Risk</t>
  </si>
  <si>
    <t xml:space="preserve">Control Effectiveness</t>
  </si>
  <si>
    <t xml:space="preserve">Residual Risk Rating</t>
  </si>
  <si>
    <t xml:space="preserve">Residual Vendor Tier (final)</t>
  </si>
  <si>
    <t xml:space="preserve">Third-Party Risk Tiering &amp; Assessment Calculator — V2</t>
  </si>
  <si>
    <t xml:space="preserve">Vendor / Assessment Information</t>
  </si>
  <si>
    <t xml:space="preserve">Vendor Name</t>
  </si>
  <si>
    <t xml:space="preserve">CloudServe Technologies Ltd.</t>
  </si>
  <si>
    <t xml:space="preserve">Service / Product</t>
  </si>
  <si>
    <t xml:space="preserve">SaaS Customer Support &amp; Case Management</t>
  </si>
  <si>
    <t xml:space="preserve">Assessment Owner</t>
  </si>
  <si>
    <t xml:space="preserve">GRC / TPRM Analyst</t>
  </si>
  <si>
    <t xml:space="preserve">Assessment Date</t>
  </si>
  <si>
    <t xml:space="preserve">In Progress</t>
  </si>
  <si>
    <t xml:space="preserve">INHERENT RISK INPUTS</t>
  </si>
  <si>
    <t xml:space="preserve">Risk Dimension</t>
  </si>
  <si>
    <t xml:space="preserve">Assessment Question</t>
  </si>
  <si>
    <t xml:space="preserve">Score (1–5)</t>
  </si>
  <si>
    <t xml:space="preserve">Rationale / Evidence</t>
  </si>
  <si>
    <t xml:space="preserve">Override Flag</t>
  </si>
  <si>
    <t xml:space="preserve">Recommended Evidence (Documents to Request)</t>
  </si>
  <si>
    <t xml:space="preserve">What is the sensitivity of the information the vendor stores, processes or accesses?</t>
  </si>
  <si>
    <t xml:space="preserve">No</t>
  </si>
  <si>
    <t xml:space="preserve">Score 4-5: Require a signed Data Processing Agreement (DPA) covering the data categories in scope, and confirm encryption-at-rest/in-transit controls referenced in the vendor's SOC 2 Type II report or ISO 27001 Statement of Applicability. Score 1-3: A data classification policy or vendor security overview is typically sufficient.</t>
  </si>
  <si>
    <t xml:space="preserve">What is the approximate volume or scale of information handled by the vendor?</t>
  </si>
  <si>
    <t xml:space="preserve">Score 4-5: Request a data inventory or data-flow diagram showing record counts and retention periods; cross-check against the scope defined in the DPA. Score 1-3: The vendor's stated service scope is typically sufficient.</t>
  </si>
  <si>
    <t xml:space="preserve">How critical is the vendor service to business operations?</t>
  </si>
  <si>
    <t xml:space="preserve">Score 4-5: Require the vendor's Business Continuity Plan and most recent DR test results, including stated RTO/RPO, and confirm uptime commitments in the MSA/SLA. Score 1-3: Standard SLA terms are typically sufficient.</t>
  </si>
  <si>
    <t xml:space="preserve">What level of system, network or privileged access does the vendor have?</t>
  </si>
  <si>
    <t xml:space="preserve">Score 4-5: Verify MFA enforcement and least-privilege access controls referenced in the SOC 2 report's logical access (CC6) controls, or a completed access-control questionnaire; review the integration/API architecture. Score 1-3: A vendor security questionnaire response is typically sufficient.</t>
  </si>
  <si>
    <t xml:space="preserve">How much risk is introduced by subcontractors, cloud providers or other fourth parties?</t>
  </si>
  <si>
    <t xml:space="preserve">Score 4-5: Request the vendor's sub-processor list (often a DPA addendum) and confirm each sub-processor holds current SOC 2 or ISO 27001 certification; check for concentration risk such as single-region hosting. Score 1-3: A general subcontractor disclosure statement is typically sufficient.</t>
  </si>
  <si>
    <t xml:space="preserve">Potential override indicators should trigger documented review. They do not automatically force Tier 1.</t>
  </si>
  <si>
    <t xml:space="preserve">Critical production / privileged access</t>
  </si>
  <si>
    <t xml:space="preserve">Enter supporting evidence</t>
  </si>
  <si>
    <t xml:space="preserve">Override / Escalation Notes</t>
  </si>
  <si>
    <t xml:space="preserve">Document the rationale for any override or escalation, including material regulatory dependency, critical production access, significant concentration risk, severe data residency concerns, known significant security concerns, or material unresolved findings.</t>
  </si>
  <si>
    <t xml:space="preserve">Material regulatory dependency</t>
  </si>
  <si>
    <t xml:space="preserve">Critical single-provider dependency</t>
  </si>
  <si>
    <t xml:space="preserve">ASSESSMENT RESULT</t>
  </si>
  <si>
    <t xml:space="preserve">Decision Note</t>
  </si>
  <si>
    <t xml:space="preserve">The calculated result is the starting point. Review the override indicators and document professional judgement before finalizing the vendor tier.</t>
  </si>
  <si>
    <t xml:space="preserve">Vendor Tier</t>
  </si>
  <si>
    <t xml:space="preserve">Recommended Due Diligence</t>
  </si>
  <si>
    <t xml:space="preserve">SCORING MATRIX</t>
  </si>
  <si>
    <t xml:space="preserve">Risk Meaning</t>
  </si>
  <si>
    <t xml:space="preserve">Very Low</t>
  </si>
  <si>
    <t xml:space="preserve">Public / non-sensitive</t>
  </si>
  <si>
    <t xml:space="preserve">Minimal volume</t>
  </si>
  <si>
    <t xml:space="preserve">Low business impact</t>
  </si>
  <si>
    <t xml:space="preserve">No meaningful system access</t>
  </si>
  <si>
    <t xml:space="preserve">Low</t>
  </si>
  <si>
    <t xml:space="preserve">Internal information</t>
  </si>
  <si>
    <t xml:space="preserve">Low volume</t>
  </si>
  <si>
    <t xml:space="preserve">Limited business impact</t>
  </si>
  <si>
    <t xml:space="preserve">Low-risk connectivity / user access</t>
  </si>
  <si>
    <t xml:space="preserve">Moderate</t>
  </si>
  <si>
    <t xml:space="preserve">Confidential / standard personal data</t>
  </si>
  <si>
    <t xml:space="preserve">Moderate volume</t>
  </si>
  <si>
    <t xml:space="preserve">Material business impact</t>
  </si>
  <si>
    <t xml:space="preserve">Standard application or data access</t>
  </si>
  <si>
    <t xml:space="preserve">High</t>
  </si>
  <si>
    <t xml:space="preserve">Sensitive personal / financial / regulated data</t>
  </si>
  <si>
    <t xml:space="preserve">High volume</t>
  </si>
  <si>
    <t xml:space="preserve">High business impact</t>
  </si>
  <si>
    <t xml:space="preserve">Privileged or significant integration</t>
  </si>
  <si>
    <t xml:space="preserve">Very High</t>
  </si>
  <si>
    <t xml:space="preserve">Highly sensitive / regulated information</t>
  </si>
  <si>
    <t xml:space="preserve">Very high volume</t>
  </si>
  <si>
    <t xml:space="preserve">Critical business dependency</t>
  </si>
  <si>
    <t xml:space="preserve">Privileged production / deep integration</t>
  </si>
  <si>
    <t xml:space="preserve">1</t>
  </si>
  <si>
    <t xml:space="preserve">No material subcontractor dependency</t>
  </si>
  <si>
    <t xml:space="preserve">2</t>
  </si>
  <si>
    <t xml:space="preserve">Limited / low-impact subcontractors</t>
  </si>
  <si>
    <t xml:space="preserve">3</t>
  </si>
  <si>
    <t xml:space="preserve">Material subcontractor involvement</t>
  </si>
  <si>
    <t xml:space="preserve">4</t>
  </si>
  <si>
    <t xml:space="preserve">Significant reliance on sub-processors</t>
  </si>
  <si>
    <t xml:space="preserve">5</t>
  </si>
  <si>
    <t xml:space="preserve">Critical / opaque fourth-party dependency</t>
  </si>
  <si>
    <t xml:space="preserve">INHERENT RISK BANDS</t>
  </si>
  <si>
    <t xml:space="preserve">1.00–1.79</t>
  </si>
  <si>
    <t xml:space="preserve">1.80–2.59</t>
  </si>
  <si>
    <t xml:space="preserve">Low-Moderate</t>
  </si>
  <si>
    <t xml:space="preserve">2.60–3.39</t>
  </si>
  <si>
    <t xml:space="preserve">3.40–4.19</t>
  </si>
  <si>
    <t xml:space="preserve">4.20–5.00</t>
  </si>
  <si>
    <t xml:space="preserve">Critical</t>
  </si>
  <si>
    <t xml:space="preserve">Automated Risk Calculation</t>
  </si>
  <si>
    <t xml:space="preserve">Metric</t>
  </si>
  <si>
    <t xml:space="preserve">Result</t>
  </si>
  <si>
    <t xml:space="preserve">Interpretation</t>
  </si>
  <si>
    <t xml:space="preserve">Total Risk Score</t>
  </si>
  <si>
    <t xml:space="preserve">Sum of the five inherent-risk dimensions</t>
  </si>
  <si>
    <t xml:space="preserve">Average Inherent Risk Score</t>
  </si>
  <si>
    <t xml:space="preserve">Primary score used for risk banding</t>
  </si>
  <si>
    <t xml:space="preserve">Risk band based on the Project 1 methodology</t>
  </si>
  <si>
    <t xml:space="preserve">Number of flagged override indicators</t>
  </si>
  <si>
    <t xml:space="preserve">Override Review Status</t>
  </si>
  <si>
    <t xml:space="preserve">Flags review; does not automatically change the tier</t>
  </si>
  <si>
    <t xml:space="preserve">Risk Band</t>
  </si>
  <si>
    <t xml:space="preserve">Score Range</t>
  </si>
  <si>
    <t xml:space="preserve">Action</t>
  </si>
  <si>
    <t xml:space="preserve">Simplified due diligence</t>
  </si>
  <si>
    <t xml:space="preserve">Standard / proportionate due diligence</t>
  </si>
  <si>
    <t xml:space="preserve">Standard due diligence + periodic monitoring</t>
  </si>
  <si>
    <t xml:space="preserve">Enhanced due diligence + ongoing monitoring</t>
  </si>
  <si>
    <t xml:space="preserve">Enhanced due diligence + senior risk approval / ongoing monitoring</t>
  </si>
  <si>
    <t xml:space="preserve">Vendor Tiering &amp; Due-Diligence Recommendation</t>
  </si>
  <si>
    <t xml:space="preserve">Decision Area</t>
  </si>
  <si>
    <t xml:space="preserve">Automated Result</t>
  </si>
  <si>
    <t xml:space="preserve">Rule / Guidance</t>
  </si>
  <si>
    <t xml:space="preserve">Analyst Action</t>
  </si>
  <si>
    <t xml:space="preserve">Inherent Risk Rating</t>
  </si>
  <si>
    <t xml:space="preserve">Driven by average score and risk bands</t>
  </si>
  <si>
    <t xml:space="preserve">Validate against assessment evidence</t>
  </si>
  <si>
    <t xml:space="preserve">Override flags require documented review</t>
  </si>
  <si>
    <t xml:space="preserve">Escalate if risk appetite or criticality warrants</t>
  </si>
  <si>
    <t xml:space="preserve">Tier 1 = High/Critical; Tier 2 = Moderate; Tier 3 = Low/Low-Moderate</t>
  </si>
  <si>
    <t xml:space="preserve">Confirm final tier using governance/risk appetite</t>
  </si>
  <si>
    <t xml:space="preserve">Proportionate to vendor risk</t>
  </si>
  <si>
    <t xml:space="preserve">Select evidence and assessment depth accordingly</t>
  </si>
  <si>
    <t xml:space="preserve">Higher-risk vendors require more frequent oversight</t>
  </si>
  <si>
    <t xml:space="preserve">Set monitoring schedule</t>
  </si>
  <si>
    <t xml:space="preserve">Recommended Decision</t>
  </si>
  <si>
    <t xml:space="preserve">Recommendation, not an automatic approval</t>
  </si>
  <si>
    <t xml:space="preserve">Obtain appropriate business/risk approval</t>
  </si>
  <si>
    <t xml:space="preserve">Important</t>
  </si>
  <si>
    <t xml:space="preserve">The score is the starting point. Risk appetite, regulatory obligations, critical access, dependency and documented professional judgement should be considered before approval.</t>
  </si>
  <si>
    <t xml:space="preserve">User Guide — V2</t>
  </si>
  <si>
    <t xml:space="preserve">Purpose</t>
  </si>
  <si>
    <t xml:space="preserve">A practical tool for risk-based third-party/vendor classification and proportionate due diligence.</t>
  </si>
  <si>
    <t xml:space="preserve">Step 1</t>
  </si>
  <si>
    <t xml:space="preserve">Complete the Vendor / Assessment Information section.</t>
  </si>
  <si>
    <t xml:space="preserve">Step 2</t>
  </si>
  <si>
    <t xml:space="preserve">Score each of the five inherent-risk dimensions from 1–5 using the guidance provided.</t>
  </si>
  <si>
    <t xml:space="preserve">Step 3</t>
  </si>
  <si>
    <t xml:space="preserve">Document rationale/evidence for each score.</t>
  </si>
  <si>
    <t xml:space="preserve">Step 4</t>
  </si>
  <si>
    <t xml:space="preserve">Flag any override indicators requiring escalation or documented review.</t>
  </si>
  <si>
    <t xml:space="preserve">Step 5</t>
  </si>
  <si>
    <t xml:space="preserve">Review the automated risk rating, vendor tier and due-diligence recommendation.</t>
  </si>
  <si>
    <t xml:space="preserve">Step 6</t>
  </si>
  <si>
    <t xml:space="preserve">Use Client Summary for a concise decision-ready view.</t>
  </si>
  <si>
    <t xml:space="preserve">Inherent risk is assessed before considering controls. Control effectiveness should be assessed separately when determining residual risk.</t>
  </si>
  <si>
    <t xml:space="preserve">Governance</t>
  </si>
  <si>
    <t xml:space="preserve">The calculator supports analyst judgment; it does not replace organizational risk appetite, policy, regulatory requirements or formal approval.</t>
  </si>
  <si>
    <t xml:space="preserve">Portfolio Use</t>
  </si>
  <si>
    <t xml:space="preserve">For client work, replace the sample vendor information and customize scoring thresholds/evidence requirements to the client's methodology.</t>
  </si>
  <si>
    <t xml:space="preserve">CONTROL EVALUATION</t>
  </si>
  <si>
    <t xml:space="preserve">Assesses whether the vendor's actual security controls are effective — separate from, and performed after, the inherent risk score.</t>
  </si>
  <si>
    <t xml:space="preserve">Effectiveness scale:  1 = Ineffective   2 = Largely Ineffective   3 = Partially Effective   4 = Largely Effective   5 = Effective</t>
  </si>
  <si>
    <t xml:space="preserve">Control Domain</t>
  </si>
  <si>
    <t xml:space="preserve">Control Description</t>
  </si>
  <si>
    <t xml:space="preserve">Effectiveness (1-5)</t>
  </si>
  <si>
    <t xml:space="preserve">Evidence Reviewed?</t>
  </si>
  <si>
    <t xml:space="preserve">Notes</t>
  </si>
  <si>
    <t xml:space="preserve">Identity &amp; Access Management</t>
  </si>
  <si>
    <t xml:space="preserve">MFA enforcement, least-privilege access, periodic access reviews</t>
  </si>
  <si>
    <t xml:space="preserve">Yes</t>
  </si>
  <si>
    <t xml:space="preserve">Data Protection / Encryption</t>
  </si>
  <si>
    <t xml:space="preserve">Encryption at rest and in transit, key management practices</t>
  </si>
  <si>
    <t xml:space="preserve">Vulnerability Management</t>
  </si>
  <si>
    <t xml:space="preserve">Patching cadence, penetration testing frequency and remediation</t>
  </si>
  <si>
    <t xml:space="preserve">Security Incident Response</t>
  </si>
  <si>
    <t xml:space="preserve">Incident response plan, breach notification timelines</t>
  </si>
  <si>
    <t xml:space="preserve">Business Continuity &amp; DR</t>
  </si>
  <si>
    <t xml:space="preserve">BCP/DR testing frequency, documented RTO/RPO</t>
  </si>
  <si>
    <t xml:space="preserve">Fourth-Party Risk Management</t>
  </si>
  <si>
    <t xml:space="preserve">Sub-processor oversight and monitoring</t>
  </si>
  <si>
    <t xml:space="preserve">Privacy &amp; Data Processing</t>
  </si>
  <si>
    <t xml:space="preserve">DPA in place, lawful basis, data subject rights process</t>
  </si>
  <si>
    <t xml:space="preserve">Data Return &amp; Secure Destruction</t>
  </si>
  <si>
    <t xml:space="preserve">Offboarding data handling and destruction attestation</t>
  </si>
  <si>
    <t xml:space="preserve">Total Control Score</t>
  </si>
  <si>
    <t xml:space="preserve">Average Control Effectiveness</t>
  </si>
  <si>
    <t xml:space="preserve">Control Effectiveness Band</t>
  </si>
  <si>
    <t xml:space="preserve">RESIDUAL RISK</t>
  </si>
  <si>
    <t xml:space="preserve">Combines Inherent Risk (before controls) with Control Effectiveness (how well the vendor's actual controls perform) to produce the rating used for final approval.</t>
  </si>
  <si>
    <t xml:space="preserve">Control Effectiveness Score</t>
  </si>
  <si>
    <t xml:space="preserve">RESIDUAL RISK MATRIX (reference)</t>
  </si>
  <si>
    <t xml:space="preserve">Inherent \ Controls</t>
  </si>
  <si>
    <t xml:space="preserve">Weak</t>
  </si>
  <si>
    <t xml:space="preserve">Partial</t>
  </si>
  <si>
    <t xml:space="preserve">Strong</t>
  </si>
  <si>
    <t xml:space="preserve">Note: the Vendor Tiering tab shows the tier recommendation based on inherent risk alone — used to scope evidence gathering before controls are assessed. The Residual Vendor Tier above reflects control effectiveness and is the rating that should drive final approval. A Critical inherent risk with Strong controls still lands at Moderate residual, not Low, because inherent risk at that level does not fully wash out — it is reassessed periodically as controls evolve.</t>
  </si>
</sst>
</file>

<file path=xl/styles.xml><?xml version="1.0" encoding="utf-8"?>
<styleSheet xmlns="http://schemas.openxmlformats.org/spreadsheetml/2006/main">
  <numFmts count="3">
    <numFmt numFmtId="164" formatCode="General"/>
    <numFmt numFmtId="165" formatCode="0.00"/>
    <numFmt numFmtId="166" formatCode="General"/>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Cambria"/>
      <family val="0"/>
      <charset val="1"/>
    </font>
    <font>
      <b val="true"/>
      <sz val="12"/>
      <color rgb="FF17365D"/>
      <name val="Cambria"/>
      <family val="0"/>
      <charset val="1"/>
    </font>
    <font>
      <b val="true"/>
      <sz val="11"/>
      <name val="Cambria"/>
      <family val="0"/>
      <charset val="1"/>
    </font>
    <font>
      <b val="true"/>
      <sz val="11"/>
      <color rgb="FFFFFFFF"/>
      <name val="Cambria"/>
      <family val="0"/>
      <charset val="1"/>
    </font>
    <font>
      <b val="true"/>
      <sz val="11"/>
      <color rgb="FFFFFFFF"/>
      <name val="Calibri"/>
      <family val="0"/>
      <charset val="1"/>
    </font>
    <font>
      <b val="true"/>
      <sz val="11"/>
      <name val="Calibri"/>
      <family val="0"/>
      <charset val="1"/>
    </font>
    <font>
      <b val="true"/>
      <sz val="11"/>
      <color rgb="FF1F4E78"/>
      <name val="Calibri"/>
      <family val="0"/>
      <charset val="1"/>
    </font>
    <font>
      <b val="true"/>
      <sz val="11"/>
      <color rgb="FFC00000"/>
      <name val="Calibri"/>
      <family val="0"/>
      <charset val="1"/>
    </font>
    <font>
      <b val="true"/>
      <sz val="18"/>
      <color rgb="FF000000"/>
      <name val="Calibri"/>
      <family val="2"/>
    </font>
    <font>
      <sz val="10"/>
      <color rgb="FF000000"/>
      <name val="Calibri"/>
      <family val="2"/>
    </font>
    <font>
      <b val="true"/>
      <sz val="10"/>
      <color rgb="FF000000"/>
      <name val="Calibri"/>
      <family val="2"/>
    </font>
    <font>
      <sz val="11"/>
      <color rgb="FF1F1F1F"/>
      <name val="Calibri"/>
      <family val="0"/>
      <charset val="1"/>
    </font>
    <font>
      <sz val="10"/>
      <color rgb="FF1F1F1F"/>
      <name val="Calibri"/>
      <family val="0"/>
      <charset val="1"/>
    </font>
    <font>
      <i val="true"/>
      <sz val="11"/>
      <color rgb="FF666666"/>
      <name val="Cambria"/>
      <family val="0"/>
      <charset val="1"/>
    </font>
    <font>
      <b val="true"/>
      <sz val="11"/>
      <color rgb="FF17365D"/>
      <name val="Cambria"/>
      <family val="0"/>
      <charset val="1"/>
    </font>
    <font>
      <b val="true"/>
      <sz val="14"/>
      <color rgb="FFFFFFFF"/>
      <name val="Calibri"/>
      <family val="0"/>
      <charset val="1"/>
    </font>
    <font>
      <i val="true"/>
      <sz val="9"/>
      <color rgb="FF808080"/>
      <name val="Calibri"/>
      <family val="0"/>
      <charset val="1"/>
    </font>
    <font>
      <b val="true"/>
      <sz val="10"/>
      <color rgb="FFFFFFFF"/>
      <name val="Calibri"/>
      <family val="0"/>
      <charset val="1"/>
    </font>
    <font>
      <sz val="11"/>
      <color rgb="FF008000"/>
      <name val="Calibri"/>
      <family val="0"/>
      <charset val="1"/>
    </font>
    <font>
      <b val="true"/>
      <sz val="12"/>
      <color rgb="FFC00000"/>
      <name val="Calibri"/>
      <family val="0"/>
      <charset val="1"/>
    </font>
  </fonts>
  <fills count="9">
    <fill>
      <patternFill patternType="none"/>
    </fill>
    <fill>
      <patternFill patternType="gray125"/>
    </fill>
    <fill>
      <patternFill patternType="solid">
        <fgColor rgb="FF17365D"/>
        <bgColor rgb="FF1F4E78"/>
      </patternFill>
    </fill>
    <fill>
      <patternFill patternType="solid">
        <fgColor rgb="FF2F75B5"/>
        <bgColor rgb="FF2E75B6"/>
      </patternFill>
    </fill>
    <fill>
      <patternFill patternType="solid">
        <fgColor rgb="FFD9EAF7"/>
        <bgColor rgb="FFE2F0D9"/>
      </patternFill>
    </fill>
    <fill>
      <patternFill patternType="solid">
        <fgColor rgb="FF2E75B6"/>
        <bgColor rgb="FF2F75B5"/>
      </patternFill>
    </fill>
    <fill>
      <patternFill patternType="solid">
        <fgColor rgb="FF5B9BD5"/>
        <bgColor rgb="FF4F81BD"/>
      </patternFill>
    </fill>
    <fill>
      <patternFill patternType="solid">
        <fgColor rgb="FF1F4E78"/>
        <bgColor rgb="FF17365D"/>
      </patternFill>
    </fill>
    <fill>
      <patternFill patternType="solid">
        <fgColor rgb="FF404040"/>
        <bgColor rgb="FF17365D"/>
      </patternFill>
    </fill>
  </fills>
  <borders count="3">
    <border diagonalUp="false" diagonalDown="false">
      <left/>
      <right/>
      <top/>
      <bottom/>
      <diagonal/>
    </border>
    <border diagonalUp="false" diagonalDown="false">
      <left/>
      <right/>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4" fontId="0" fillId="4" borderId="0" xfId="0" applyFont="true" applyBorder="tru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15"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0" fillId="4" borderId="1" xfId="0" applyFont="true" applyBorder="true" applyAlignment="true" applyProtection="false">
      <alignment horizontal="general" vertical="center"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9" fillId="7" borderId="0" xfId="0" applyFont="true" applyBorder="true" applyAlignment="true" applyProtection="false">
      <alignment horizontal="left" vertical="center" textRotation="0" wrapText="false" indent="1" shrinkToFit="false"/>
      <protection locked="true" hidden="false"/>
    </xf>
    <xf numFmtId="164" fontId="20" fillId="0" borderId="0" xfId="0" applyFont="true" applyBorder="true" applyAlignment="true" applyProtection="false">
      <alignment horizontal="left" vertical="center" textRotation="0" wrapText="false" indent="1"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21" fillId="8" borderId="0" xfId="0" applyFont="true" applyBorder="false" applyAlignment="true" applyProtection="false">
      <alignment horizontal="general" vertical="center" textRotation="0" wrapText="true" indent="0" shrinkToFit="false"/>
      <protection locked="true" hidden="false"/>
    </xf>
    <xf numFmtId="164" fontId="16" fillId="0" borderId="2" xfId="0" applyFont="true" applyBorder="true" applyAlignment="tru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bottom" textRotation="0" wrapText="false" indent="0" shrinkToFit="false"/>
      <protection locked="true" hidden="false"/>
    </xf>
    <xf numFmtId="164" fontId="21" fillId="8" borderId="0" xfId="0" applyFont="true" applyBorder="false" applyAlignment="true" applyProtection="false">
      <alignment horizontal="general" vertical="bottom" textRotation="0" wrapText="false" indent="0" shrinkToFit="false"/>
      <protection locked="true" hidden="false"/>
    </xf>
    <xf numFmtId="166" fontId="10" fillId="0" borderId="2" xfId="0" applyFont="true" applyBorder="true" applyAlignment="tru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general" vertical="bottom" textRotation="0" wrapText="false" indent="0" shrinkToFit="false"/>
      <protection locked="true" hidden="false"/>
    </xf>
    <xf numFmtId="164" fontId="23" fillId="0" borderId="2"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CCCC"/>
        </patternFill>
      </fill>
    </dxf>
    <dxf>
      <fill>
        <patternFill>
          <bgColor rgb="FFFFF2CC"/>
        </patternFill>
      </fill>
    </dxf>
    <dxf>
      <fill>
        <patternFill>
          <bgColor rgb="FFE2F0D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9EAF7"/>
      <rgbColor rgb="FF660066"/>
      <rgbColor rgb="FFFF8080"/>
      <rgbColor rgb="FF2F75B5"/>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B7B7B7"/>
      <rgbColor rgb="FFFF99CC"/>
      <rgbColor rgb="FFCC99FF"/>
      <rgbColor rgb="FFF4CCCC"/>
      <rgbColor rgb="FF2E75B6"/>
      <rgbColor rgb="FF33CCCC"/>
      <rgbColor rgb="FF99CC00"/>
      <rgbColor rgb="FFFFCC00"/>
      <rgbColor rgb="FFFF9900"/>
      <rgbColor rgb="FFFF6600"/>
      <rgbColor rgb="FF666666"/>
      <rgbColor rgb="FF878787"/>
      <rgbColor rgb="FF17365D"/>
      <rgbColor rgb="FF4F81BD"/>
      <rgbColor rgb="FF003300"/>
      <rgbColor rgb="FF1F1F1F"/>
      <rgbColor rgb="FF9933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Inherent Risk Dimensions</a:t>
            </a:r>
          </a:p>
        </c:rich>
      </c:tx>
      <c:overlay val="0"/>
      <c:spPr>
        <a:noFill/>
        <a:ln w="0">
          <a:noFill/>
        </a:ln>
      </c:spPr>
    </c:title>
    <c:autoTitleDeleted val="0"/>
    <c:plotArea>
      <c:barChart>
        <c:barDir val="bar"/>
        <c:grouping val="clustered"/>
        <c:varyColors val="0"/>
        <c:ser>
          <c:idx val="0"/>
          <c:order val="0"/>
          <c:tx>
            <c:strRef>
              <c:f>'Client Summary'!B17</c:f>
              <c:strCache>
                <c:ptCount val="1"/>
                <c:pt idx="0">
                  <c:v>Score</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'Client Summary'!$A$18:$A$22</c:f>
              <c:strCache>
                <c:ptCount val="5"/>
                <c:pt idx="0">
                  <c:v>Data Sensitivity</c:v>
                </c:pt>
                <c:pt idx="1">
                  <c:v>Data Volume</c:v>
                </c:pt>
                <c:pt idx="2">
                  <c:v>Business Criticality</c:v>
                </c:pt>
                <c:pt idx="3">
                  <c:v>Access &amp; Integration</c:v>
                </c:pt>
                <c:pt idx="4">
                  <c:v>Fourth-Party Dependency</c:v>
                </c:pt>
              </c:strCache>
            </c:strRef>
          </c:cat>
          <c:val>
            <c:numRef>
              <c:f>'Client Summary'!$B$18:$B$22</c:f>
              <c:numCache>
                <c:formatCode>General</c:formatCode>
                <c:ptCount val="5"/>
                <c:pt idx="0">
                  <c:v>3</c:v>
                </c:pt>
                <c:pt idx="1">
                  <c:v>3</c:v>
                </c:pt>
                <c:pt idx="2">
                  <c:v>3</c:v>
                </c:pt>
                <c:pt idx="3">
                  <c:v>3</c:v>
                </c:pt>
                <c:pt idx="4">
                  <c:v>3</c:v>
                </c:pt>
              </c:numCache>
            </c:numRef>
          </c:val>
        </c:ser>
        <c:gapWidth val="150"/>
        <c:overlap val="0"/>
        <c:axId val="54838126"/>
        <c:axId val="73284278"/>
      </c:barChart>
      <c:catAx>
        <c:axId val="54838126"/>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Score (1–5)</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284278"/>
        <c:crosses val="autoZero"/>
        <c:auto val="1"/>
        <c:lblAlgn val="ctr"/>
        <c:lblOffset val="100"/>
        <c:noMultiLvlLbl val="0"/>
      </c:catAx>
      <c:valAx>
        <c:axId val="73284278"/>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Risk Dimension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83812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16</xdr:row>
      <xdr:rowOff>0</xdr:rowOff>
    </xdr:from>
    <xdr:to>
      <xdr:col>5</xdr:col>
      <xdr:colOff>1217160</xdr:colOff>
      <xdr:row>29</xdr:row>
      <xdr:rowOff>42120</xdr:rowOff>
    </xdr:to>
    <xdr:graphicFrame>
      <xdr:nvGraphicFramePr>
        <xdr:cNvPr id="0" name="Chart 1"/>
        <xdr:cNvGraphicFramePr/>
      </xdr:nvGraphicFramePr>
      <xdr:xfrm>
        <a:off x="5638680" y="3238560"/>
        <a:ext cx="4318560" cy="2518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0"/>
    <col collapsed="false" customWidth="true" hidden="false" outlineLevel="0" max="3" min="3" style="1" width="20"/>
    <col collapsed="false" customWidth="true" hidden="false" outlineLevel="0" max="6" min="4" style="1" width="22"/>
  </cols>
  <sheetData>
    <row r="1" customFormat="false" ht="30" hidden="false" customHeight="true" outlineLevel="0" collapsed="false">
      <c r="A1" s="2" t="s">
        <v>0</v>
      </c>
      <c r="B1" s="2"/>
      <c r="C1" s="2"/>
      <c r="D1" s="2"/>
      <c r="E1" s="2"/>
      <c r="F1" s="2"/>
    </row>
    <row r="3" customFormat="false" ht="15" hidden="false" customHeight="true" outlineLevel="0" collapsed="false">
      <c r="A3" s="3" t="s">
        <v>1</v>
      </c>
    </row>
    <row r="4" customFormat="false" ht="15" hidden="false" customHeight="true" outlineLevel="0" collapsed="false">
      <c r="A4" s="4" t="s">
        <v>2</v>
      </c>
      <c r="B4" s="5" t="str">
        <f aca="false">Assessment!B4</f>
        <v>CloudServe Technologies Ltd.</v>
      </c>
      <c r="C4" s="5"/>
      <c r="D4" s="5"/>
      <c r="E4" s="5"/>
      <c r="F4" s="5"/>
    </row>
    <row r="5" customFormat="false" ht="15" hidden="false" customHeight="true" outlineLevel="0" collapsed="false">
      <c r="A5" s="4" t="s">
        <v>3</v>
      </c>
      <c r="B5" s="5" t="str">
        <f aca="false">Assessment!B5</f>
        <v>SaaS Customer Support &amp; Case Management</v>
      </c>
      <c r="C5" s="5"/>
      <c r="D5" s="5"/>
      <c r="E5" s="5"/>
      <c r="F5" s="5"/>
    </row>
    <row r="6" customFormat="false" ht="15" hidden="false" customHeight="true" outlineLevel="0" collapsed="false">
      <c r="A6" s="4" t="s">
        <v>4</v>
      </c>
      <c r="B6" s="5" t="str">
        <f aca="false">Assessment!B8</f>
        <v>In Progress</v>
      </c>
      <c r="C6" s="5"/>
      <c r="D6" s="5"/>
      <c r="E6" s="5"/>
      <c r="F6" s="5"/>
    </row>
    <row r="7" customFormat="false" ht="15" hidden="false" customHeight="true" outlineLevel="0" collapsed="false">
      <c r="A7" s="4" t="s">
        <v>5</v>
      </c>
      <c r="B7" s="5" t="n">
        <f aca="false">'Risk Calculation'!B5</f>
        <v>3</v>
      </c>
      <c r="C7" s="5"/>
      <c r="D7" s="5"/>
      <c r="E7" s="5"/>
      <c r="F7" s="5"/>
    </row>
    <row r="8" customFormat="false" ht="15" hidden="false" customHeight="true" outlineLevel="0" collapsed="false">
      <c r="A8" s="4" t="s">
        <v>6</v>
      </c>
      <c r="B8" s="5" t="str">
        <f aca="false">'Risk Calculation'!B6</f>
        <v>Moderate</v>
      </c>
      <c r="C8" s="5"/>
      <c r="D8" s="5"/>
      <c r="E8" s="5"/>
      <c r="F8" s="5"/>
    </row>
    <row r="9" customFormat="false" ht="15" hidden="false" customHeight="true" outlineLevel="0" collapsed="false">
      <c r="A9" s="4" t="s">
        <v>7</v>
      </c>
      <c r="B9" s="5" t="str">
        <f aca="false">'Vendor Tiering'!B6</f>
        <v>Tier 2</v>
      </c>
      <c r="C9" s="5"/>
      <c r="D9" s="5"/>
      <c r="E9" s="5"/>
      <c r="F9" s="5"/>
    </row>
    <row r="10" customFormat="false" ht="15" hidden="false" customHeight="true" outlineLevel="0" collapsed="false">
      <c r="A10" s="4" t="s">
        <v>8</v>
      </c>
      <c r="B10" s="5" t="str">
        <f aca="false">'Vendor Tiering'!B7</f>
        <v>Standard</v>
      </c>
      <c r="C10" s="5"/>
      <c r="D10" s="5"/>
      <c r="E10" s="5"/>
      <c r="F10" s="5"/>
    </row>
    <row r="11" customFormat="false" ht="15" hidden="false" customHeight="true" outlineLevel="0" collapsed="false">
      <c r="A11" s="4" t="s">
        <v>9</v>
      </c>
      <c r="B11" s="5" t="str">
        <f aca="false">'Vendor Tiering'!B8</f>
        <v>Periodic review</v>
      </c>
      <c r="C11" s="5"/>
      <c r="D11" s="5"/>
      <c r="E11" s="5"/>
      <c r="F11" s="5"/>
    </row>
    <row r="12" customFormat="false" ht="15" hidden="false" customHeight="true" outlineLevel="0" collapsed="false">
      <c r="A12" s="4" t="s">
        <v>10</v>
      </c>
      <c r="B12" s="5" t="n">
        <f aca="false">'Risk Calculation'!B7</f>
        <v>0</v>
      </c>
      <c r="C12" s="5"/>
      <c r="D12" s="5"/>
      <c r="E12" s="5"/>
      <c r="F12" s="5"/>
    </row>
    <row r="13" customFormat="false" ht="15" hidden="false" customHeight="true" outlineLevel="0" collapsed="false">
      <c r="A13" s="4" t="s">
        <v>11</v>
      </c>
      <c r="B13" s="5" t="str">
        <f aca="false">'Risk Calculation'!B8</f>
        <v>No override flagged</v>
      </c>
      <c r="C13" s="5"/>
      <c r="D13" s="5"/>
      <c r="E13" s="5"/>
      <c r="F13" s="5"/>
    </row>
    <row r="16" customFormat="false" ht="15" hidden="false" customHeight="true" outlineLevel="0" collapsed="false">
      <c r="A16" s="3" t="s">
        <v>12</v>
      </c>
    </row>
    <row r="17" customFormat="false" ht="15" hidden="false" customHeight="true" outlineLevel="0" collapsed="false">
      <c r="A17" s="6" t="s">
        <v>13</v>
      </c>
      <c r="B17" s="6" t="s">
        <v>14</v>
      </c>
    </row>
    <row r="18" customFormat="false" ht="15" hidden="false" customHeight="true" outlineLevel="0" collapsed="false">
      <c r="A18" s="7" t="s">
        <v>15</v>
      </c>
      <c r="B18" s="7" t="n">
        <f aca="false">Assessment!C12</f>
        <v>3</v>
      </c>
    </row>
    <row r="19" customFormat="false" ht="15" hidden="false" customHeight="true" outlineLevel="0" collapsed="false">
      <c r="A19" s="7" t="s">
        <v>16</v>
      </c>
      <c r="B19" s="7" t="n">
        <f aca="false">Assessment!C13</f>
        <v>3</v>
      </c>
    </row>
    <row r="20" customFormat="false" ht="15" hidden="false" customHeight="true" outlineLevel="0" collapsed="false">
      <c r="A20" s="7" t="s">
        <v>17</v>
      </c>
      <c r="B20" s="7" t="n">
        <f aca="false">Assessment!C14</f>
        <v>3</v>
      </c>
    </row>
    <row r="21" customFormat="false" ht="15" hidden="false" customHeight="true" outlineLevel="0" collapsed="false">
      <c r="A21" s="7" t="s">
        <v>18</v>
      </c>
      <c r="B21" s="7" t="n">
        <f aca="false">Assessment!C15</f>
        <v>3</v>
      </c>
    </row>
    <row r="22" customFormat="false" ht="15" hidden="false" customHeight="true" outlineLevel="0" collapsed="false">
      <c r="A22" s="7" t="s">
        <v>19</v>
      </c>
      <c r="B22" s="7" t="n">
        <f aca="false">Assessment!C16</f>
        <v>3</v>
      </c>
    </row>
    <row r="25" customFormat="false" ht="15" hidden="false" customHeight="true" outlineLevel="0" collapsed="false">
      <c r="A25" s="3" t="s">
        <v>20</v>
      </c>
    </row>
    <row r="26" customFormat="false" ht="15" hidden="false" customHeight="true" outlineLevel="0" collapsed="false">
      <c r="A26" s="8"/>
    </row>
    <row r="27" customFormat="false" ht="15" hidden="false" customHeight="true" outlineLevel="0" collapsed="false"/>
    <row r="28" customFormat="false" ht="15" hidden="false" customHeight="true" outlineLevel="0" collapsed="false"/>
    <row r="29" customFormat="false" ht="15" hidden="false" customHeight="true" outlineLevel="0" collapsed="false"/>
    <row r="31" customFormat="false" ht="19.5" hidden="false" customHeight="true" outlineLevel="0" collapsed="false">
      <c r="A31" s="9"/>
    </row>
    <row r="32" customFormat="false" ht="15" hidden="false" customHeight="true" outlineLevel="0" collapsed="false">
      <c r="A32" s="10" t="s">
        <v>21</v>
      </c>
      <c r="B32" s="10"/>
      <c r="C32" s="10"/>
      <c r="D32" s="10"/>
      <c r="E32" s="10"/>
      <c r="F32" s="10"/>
    </row>
    <row r="33" customFormat="false" ht="15" hidden="false" customHeight="true" outlineLevel="0" collapsed="false">
      <c r="A33" s="10"/>
      <c r="B33" s="10"/>
      <c r="C33" s="10"/>
      <c r="D33" s="10"/>
      <c r="E33" s="10"/>
      <c r="F33" s="10"/>
    </row>
    <row r="34" customFormat="false" ht="15" hidden="false" customHeight="true" outlineLevel="0" collapsed="false">
      <c r="A34" s="10"/>
      <c r="B34" s="10"/>
      <c r="C34" s="10"/>
      <c r="D34" s="10"/>
      <c r="E34" s="10"/>
      <c r="F34" s="10"/>
    </row>
    <row r="35" customFormat="false" ht="15" hidden="false" customHeight="true" outlineLevel="0" collapsed="false">
      <c r="A35" s="10"/>
      <c r="B35" s="10"/>
      <c r="C35" s="10"/>
      <c r="D35" s="10"/>
      <c r="E35" s="10"/>
      <c r="F35" s="10"/>
    </row>
    <row r="37" customFormat="false" ht="15" hidden="false" customHeight="true" outlineLevel="0" collapsed="false">
      <c r="A37" s="11" t="s">
        <v>22</v>
      </c>
      <c r="B37" s="11"/>
    </row>
    <row r="38" customFormat="false" ht="15" hidden="false" customHeight="true" outlineLevel="0" collapsed="false">
      <c r="A38" s="12" t="s">
        <v>23</v>
      </c>
      <c r="B38" s="13" t="str">
        <f aca="false">'Control Evaluation'!B18&amp;" ("&amp;'Control Evaluation'!B19&amp;")"</f>
        <v>3.38 (Partial)</v>
      </c>
    </row>
    <row r="39" customFormat="false" ht="15" hidden="false" customHeight="true" outlineLevel="0" collapsed="false">
      <c r="A39" s="12" t="s">
        <v>24</v>
      </c>
      <c r="B39" s="13" t="str">
        <f aca="false">'Residual Risk'!B9</f>
        <v>Low-Moderate</v>
      </c>
    </row>
    <row r="40" customFormat="false" ht="15" hidden="false" customHeight="true" outlineLevel="0" collapsed="false">
      <c r="A40" s="12" t="s">
        <v>25</v>
      </c>
      <c r="B40" s="14" t="str">
        <f aca="false">'Residual Risk'!B10</f>
        <v>Tier 3</v>
      </c>
    </row>
  </sheetData>
  <mergeCells count="13">
    <mergeCell ref="A1:F1"/>
    <mergeCell ref="B4:F4"/>
    <mergeCell ref="B5:F5"/>
    <mergeCell ref="B6:F6"/>
    <mergeCell ref="B7:F7"/>
    <mergeCell ref="B8:F8"/>
    <mergeCell ref="B9:F9"/>
    <mergeCell ref="B10:F10"/>
    <mergeCell ref="B11:F11"/>
    <mergeCell ref="B12:F12"/>
    <mergeCell ref="B13:F13"/>
    <mergeCell ref="A32:F35"/>
    <mergeCell ref="A37:B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3"/>
    <col collapsed="false" customWidth="true" hidden="false" outlineLevel="0" max="2" min="2" style="1" width="47"/>
    <col collapsed="false" customWidth="true" hidden="false" outlineLevel="0" max="3" min="3" style="1" width="13"/>
    <col collapsed="false" customWidth="true" hidden="false" outlineLevel="0" max="4" min="4" style="1" width="40"/>
    <col collapsed="false" customWidth="true" hidden="false" outlineLevel="0" max="5" min="5" style="1" width="15"/>
    <col collapsed="false" customWidth="true" hidden="false" outlineLevel="0" max="6" min="6" style="1" width="44"/>
  </cols>
  <sheetData>
    <row r="1" customFormat="false" ht="27.75" hidden="false" customHeight="true" outlineLevel="0" collapsed="false">
      <c r="A1" s="2" t="s">
        <v>26</v>
      </c>
      <c r="B1" s="2"/>
      <c r="C1" s="2"/>
      <c r="D1" s="2"/>
      <c r="E1" s="2"/>
      <c r="F1" s="2"/>
    </row>
    <row r="2" customFormat="false" ht="15" hidden="false" customHeight="true" outlineLevel="0" collapsed="false">
      <c r="A2" s="15"/>
      <c r="B2" s="15"/>
      <c r="C2" s="15"/>
      <c r="D2" s="15"/>
      <c r="E2" s="15"/>
      <c r="F2" s="15"/>
    </row>
    <row r="3" customFormat="false" ht="15" hidden="false" customHeight="true" outlineLevel="0" collapsed="false">
      <c r="A3" s="16" t="s">
        <v>27</v>
      </c>
      <c r="B3" s="16"/>
      <c r="C3" s="16"/>
      <c r="D3" s="16"/>
      <c r="E3" s="16"/>
      <c r="F3" s="16"/>
    </row>
    <row r="4" customFormat="false" ht="15" hidden="false" customHeight="true" outlineLevel="0" collapsed="false">
      <c r="A4" s="4" t="s">
        <v>28</v>
      </c>
      <c r="B4" s="17" t="s">
        <v>29</v>
      </c>
      <c r="C4" s="17"/>
      <c r="D4" s="17"/>
      <c r="E4" s="17"/>
      <c r="F4" s="17"/>
    </row>
    <row r="5" customFormat="false" ht="15" hidden="false" customHeight="true" outlineLevel="0" collapsed="false">
      <c r="A5" s="4" t="s">
        <v>30</v>
      </c>
      <c r="B5" s="17" t="s">
        <v>31</v>
      </c>
      <c r="C5" s="17"/>
      <c r="D5" s="17"/>
      <c r="E5" s="17"/>
      <c r="F5" s="17"/>
    </row>
    <row r="6" customFormat="false" ht="15" hidden="false" customHeight="true" outlineLevel="0" collapsed="false">
      <c r="A6" s="4" t="s">
        <v>32</v>
      </c>
      <c r="B6" s="17" t="s">
        <v>33</v>
      </c>
      <c r="C6" s="17"/>
      <c r="D6" s="17"/>
      <c r="E6" s="17"/>
      <c r="F6" s="17"/>
    </row>
    <row r="7" customFormat="false" ht="15" hidden="false" customHeight="true" outlineLevel="0" collapsed="false">
      <c r="A7" s="4" t="s">
        <v>34</v>
      </c>
      <c r="B7" s="17"/>
      <c r="C7" s="17"/>
      <c r="D7" s="17"/>
      <c r="E7" s="17"/>
      <c r="F7" s="17"/>
    </row>
    <row r="8" customFormat="false" ht="15" hidden="false" customHeight="true" outlineLevel="0" collapsed="false">
      <c r="A8" s="4" t="s">
        <v>4</v>
      </c>
      <c r="B8" s="17" t="s">
        <v>35</v>
      </c>
      <c r="C8" s="17"/>
      <c r="D8" s="17"/>
      <c r="E8" s="17"/>
      <c r="F8" s="17"/>
    </row>
    <row r="9" customFormat="false" ht="15" hidden="false" customHeight="true" outlineLevel="0" collapsed="false">
      <c r="A9" s="15"/>
      <c r="B9" s="15"/>
      <c r="C9" s="15"/>
      <c r="D9" s="15"/>
      <c r="E9" s="15"/>
      <c r="F9" s="15"/>
    </row>
    <row r="10" customFormat="false" ht="15" hidden="false" customHeight="true" outlineLevel="0" collapsed="false">
      <c r="A10" s="18" t="s">
        <v>36</v>
      </c>
      <c r="B10" s="18"/>
      <c r="C10" s="18"/>
      <c r="D10" s="18"/>
      <c r="E10" s="18"/>
      <c r="F10" s="18"/>
    </row>
    <row r="11" customFormat="false" ht="15" hidden="false" customHeight="true" outlineLevel="0" collapsed="false">
      <c r="A11" s="6" t="s">
        <v>37</v>
      </c>
      <c r="B11" s="6" t="s">
        <v>38</v>
      </c>
      <c r="C11" s="6" t="s">
        <v>39</v>
      </c>
      <c r="D11" s="6" t="s">
        <v>40</v>
      </c>
      <c r="E11" s="6" t="s">
        <v>41</v>
      </c>
      <c r="F11" s="6" t="s">
        <v>42</v>
      </c>
    </row>
    <row r="12" customFormat="false" ht="60" hidden="false" customHeight="true" outlineLevel="0" collapsed="false">
      <c r="A12" s="19" t="s">
        <v>15</v>
      </c>
      <c r="B12" s="19" t="s">
        <v>43</v>
      </c>
      <c r="C12" s="19" t="n">
        <v>3</v>
      </c>
      <c r="D12" s="19"/>
      <c r="E12" s="19" t="s">
        <v>44</v>
      </c>
      <c r="F12" s="20" t="s">
        <v>45</v>
      </c>
    </row>
    <row r="13" customFormat="false" ht="60" hidden="false" customHeight="true" outlineLevel="0" collapsed="false">
      <c r="A13" s="19" t="s">
        <v>16</v>
      </c>
      <c r="B13" s="19" t="s">
        <v>46</v>
      </c>
      <c r="C13" s="19" t="n">
        <v>3</v>
      </c>
      <c r="D13" s="19"/>
      <c r="E13" s="19" t="s">
        <v>44</v>
      </c>
      <c r="F13" s="20" t="s">
        <v>47</v>
      </c>
    </row>
    <row r="14" customFormat="false" ht="60" hidden="false" customHeight="true" outlineLevel="0" collapsed="false">
      <c r="A14" s="19" t="s">
        <v>17</v>
      </c>
      <c r="B14" s="19" t="s">
        <v>48</v>
      </c>
      <c r="C14" s="19" t="n">
        <v>3</v>
      </c>
      <c r="D14" s="19"/>
      <c r="E14" s="19" t="s">
        <v>44</v>
      </c>
      <c r="F14" s="20" t="s">
        <v>49</v>
      </c>
    </row>
    <row r="15" customFormat="false" ht="60" hidden="false" customHeight="true" outlineLevel="0" collapsed="false">
      <c r="A15" s="19" t="s">
        <v>18</v>
      </c>
      <c r="B15" s="19" t="s">
        <v>50</v>
      </c>
      <c r="C15" s="19" t="n">
        <v>3</v>
      </c>
      <c r="D15" s="19"/>
      <c r="E15" s="19" t="s">
        <v>44</v>
      </c>
      <c r="F15" s="20" t="s">
        <v>51</v>
      </c>
    </row>
    <row r="16" customFormat="false" ht="60" hidden="false" customHeight="true" outlineLevel="0" collapsed="false">
      <c r="A16" s="19" t="s">
        <v>19</v>
      </c>
      <c r="B16" s="19" t="s">
        <v>52</v>
      </c>
      <c r="C16" s="19" t="n">
        <v>3</v>
      </c>
      <c r="D16" s="19"/>
      <c r="E16" s="19" t="s">
        <v>44</v>
      </c>
      <c r="F16" s="20" t="s">
        <v>53</v>
      </c>
    </row>
    <row r="17" customFormat="false" ht="15" hidden="false" customHeight="true" outlineLevel="0" collapsed="false">
      <c r="A17" s="15"/>
      <c r="B17" s="15"/>
      <c r="C17" s="15"/>
      <c r="D17" s="15"/>
      <c r="E17" s="15"/>
      <c r="F17" s="15"/>
    </row>
    <row r="18" customFormat="false" ht="15" hidden="false" customHeight="true" outlineLevel="0" collapsed="false">
      <c r="A18" s="16" t="s">
        <v>11</v>
      </c>
      <c r="B18" s="16"/>
      <c r="C18" s="16"/>
      <c r="D18" s="16"/>
      <c r="E18" s="16"/>
      <c r="F18" s="16"/>
    </row>
    <row r="19" customFormat="false" ht="31.5" hidden="false" customHeight="true" outlineLevel="0" collapsed="false">
      <c r="A19" s="21" t="s">
        <v>54</v>
      </c>
      <c r="B19" s="21"/>
      <c r="C19" s="21"/>
      <c r="D19" s="21"/>
      <c r="E19" s="21"/>
      <c r="F19" s="21"/>
    </row>
    <row r="20" customFormat="false" ht="41.25" hidden="false" customHeight="true" outlineLevel="0" collapsed="false">
      <c r="A20" s="15" t="s">
        <v>55</v>
      </c>
      <c r="B20" s="15" t="s">
        <v>44</v>
      </c>
      <c r="C20" s="15" t="s">
        <v>56</v>
      </c>
      <c r="D20" s="15"/>
      <c r="E20" s="15"/>
      <c r="F20" s="15"/>
    </row>
    <row r="21" customFormat="false" ht="25.5" hidden="false" customHeight="true" outlineLevel="0" collapsed="false">
      <c r="A21" s="22" t="s">
        <v>57</v>
      </c>
      <c r="B21" s="18" t="s">
        <v>58</v>
      </c>
      <c r="C21" s="18"/>
      <c r="D21" s="18"/>
      <c r="E21" s="18"/>
      <c r="F21" s="18"/>
    </row>
    <row r="22" customFormat="false" ht="41.25" hidden="false" customHeight="true" outlineLevel="0" collapsed="false">
      <c r="A22" s="15" t="s">
        <v>59</v>
      </c>
      <c r="B22" s="15" t="s">
        <v>44</v>
      </c>
      <c r="C22" s="15" t="s">
        <v>56</v>
      </c>
    </row>
    <row r="23" customFormat="false" ht="41.25" hidden="false" customHeight="true" outlineLevel="0" collapsed="false">
      <c r="A23" s="15" t="s">
        <v>60</v>
      </c>
      <c r="B23" s="15" t="s">
        <v>44</v>
      </c>
      <c r="C23" s="15" t="s">
        <v>56</v>
      </c>
    </row>
    <row r="24" customFormat="false" ht="15" hidden="false" customHeight="true" outlineLevel="0" collapsed="false">
      <c r="A24" s="15"/>
      <c r="B24" s="15"/>
      <c r="C24" s="15"/>
      <c r="D24" s="15"/>
      <c r="E24" s="15"/>
      <c r="F24" s="15"/>
    </row>
    <row r="25" customFormat="false" ht="15" hidden="false" customHeight="true" outlineLevel="0" collapsed="false">
      <c r="A25" s="18" t="s">
        <v>61</v>
      </c>
      <c r="B25" s="18"/>
      <c r="C25" s="18"/>
      <c r="D25" s="18"/>
      <c r="E25" s="18"/>
      <c r="F25" s="18"/>
    </row>
    <row r="26" customFormat="false" ht="15" hidden="false" customHeight="true" outlineLevel="0" collapsed="false">
      <c r="A26" s="15"/>
      <c r="B26" s="15"/>
      <c r="C26" s="15"/>
      <c r="D26" s="15"/>
      <c r="E26" s="15"/>
      <c r="F26" s="15"/>
    </row>
    <row r="27" customFormat="false" ht="15" hidden="false" customHeight="true" outlineLevel="0" collapsed="false">
      <c r="A27" s="15" t="s">
        <v>5</v>
      </c>
      <c r="B27" s="23" t="n">
        <f aca="false">'Risk Calculation'!B5</f>
        <v>3</v>
      </c>
      <c r="C27" s="15"/>
      <c r="D27" s="15" t="s">
        <v>62</v>
      </c>
      <c r="E27" s="15"/>
      <c r="F27" s="15"/>
    </row>
    <row r="28" customFormat="false" ht="15" hidden="false" customHeight="true" outlineLevel="0" collapsed="false">
      <c r="A28" s="15" t="s">
        <v>6</v>
      </c>
      <c r="B28" s="15" t="str">
        <f aca="false">'Risk Calculation'!B6</f>
        <v>Moderate</v>
      </c>
      <c r="C28" s="15"/>
      <c r="D28" s="18" t="s">
        <v>63</v>
      </c>
      <c r="E28" s="18"/>
      <c r="F28" s="18"/>
    </row>
    <row r="29" customFormat="false" ht="15" hidden="false" customHeight="true" outlineLevel="0" collapsed="false">
      <c r="A29" s="15" t="s">
        <v>64</v>
      </c>
      <c r="B29" s="15" t="str">
        <f aca="false">'Vendor Tiering'!B6</f>
        <v>Tier 2</v>
      </c>
      <c r="C29" s="15"/>
      <c r="D29" s="18"/>
      <c r="E29" s="18"/>
      <c r="F29" s="18"/>
    </row>
    <row r="30" customFormat="false" ht="27.75" hidden="false" customHeight="true" outlineLevel="0" collapsed="false">
      <c r="A30" s="15" t="s">
        <v>65</v>
      </c>
      <c r="B30" s="15" t="str">
        <f aca="false">'Vendor Tiering'!B7</f>
        <v>Standard</v>
      </c>
      <c r="C30" s="15"/>
      <c r="D30" s="18"/>
      <c r="E30" s="18"/>
      <c r="F30" s="18"/>
    </row>
  </sheetData>
  <mergeCells count="13">
    <mergeCell ref="A1:F1"/>
    <mergeCell ref="A3:F3"/>
    <mergeCell ref="B4:F4"/>
    <mergeCell ref="B5:F5"/>
    <mergeCell ref="B6:F6"/>
    <mergeCell ref="B7:F7"/>
    <mergeCell ref="B8:F8"/>
    <mergeCell ref="A10:F10"/>
    <mergeCell ref="A18:F18"/>
    <mergeCell ref="A19:F19"/>
    <mergeCell ref="B21:F21"/>
    <mergeCell ref="A25:F25"/>
    <mergeCell ref="D28:F30"/>
  </mergeCells>
  <conditionalFormatting sqref="C12:C16">
    <cfRule type="cellIs" priority="2" operator="greaterThanOrEqual" aboveAverage="0" equalAverage="0" bottom="0" percent="0" rank="0" text="" dxfId="0">
      <formula>4</formula>
    </cfRule>
    <cfRule type="cellIs" priority="3" operator="between" aboveAverage="0" equalAverage="0" bottom="0" percent="0" rank="0" text="" dxfId="1">
      <formula>2.6</formula>
      <formula>3.99</formula>
    </cfRule>
    <cfRule type="cellIs" priority="4" operator="lessThan" aboveAverage="0" equalAverage="0" bottom="0" percent="0" rank="0" text="" dxfId="2">
      <formula>2.6</formula>
    </cfRule>
  </conditionalFormatting>
  <dataValidations count="5">
    <dataValidation allowBlank="false" error="Enter a whole number from 1 to 5." errorStyle="stop" operator="between" showDropDown="false" showErrorMessage="false" showInputMessage="false" sqref="B12:B16" type="whole">
      <formula1>1</formula1>
      <formula2>5</formula2>
    </dataValidation>
    <dataValidation allowBlank="false" errorStyle="stop" operator="between" showDropDown="false" showErrorMessage="false" showInputMessage="false" sqref="B20:B23" type="list">
      <formula1>"Yes,No"</formula1>
      <formula2>0</formula2>
    </dataValidation>
    <dataValidation allowBlank="false" errorStyle="stop" operator="between" showDropDown="false" showErrorMessage="false" showInputMessage="false" sqref="B8" type="list">
      <formula1>"Draft,In Progress,Completed,Approved"</formula1>
      <formula2>0</formula2>
    </dataValidation>
    <dataValidation allowBlank="false" error="Enter a whole number from 1 to 5." errorStyle="stop" errorTitle="Invalid risk score" operator="between" prompt="Select a score from 1 to 5 based on the assessment guidance." promptTitle="Risk score" showDropDown="false" showErrorMessage="false" showInputMessage="false" sqref="C12:C16" type="whole">
      <formula1>1</formula1>
      <formula2>5</formula2>
    </dataValidation>
    <dataValidation allowBlank="false" errorStyle="stop" operator="between" showDropDown="false" showErrorMessage="false" showInputMessage="false" sqref="E12:E1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5"/>
    <col collapsed="false" customWidth="true" hidden="false" outlineLevel="0" max="3" min="3" style="1" width="42"/>
    <col collapsed="false" customWidth="true" hidden="false" outlineLevel="0" max="4" min="4" style="1" width="36"/>
    <col collapsed="false" customWidth="true" hidden="false" outlineLevel="0" max="6" min="5" style="1" width="30"/>
  </cols>
  <sheetData>
    <row r="1" customFormat="false" ht="19.5" hidden="false" customHeight="true" outlineLevel="0" collapsed="false">
      <c r="A1" s="24" t="s">
        <v>66</v>
      </c>
      <c r="B1" s="24"/>
      <c r="C1" s="24"/>
      <c r="D1" s="24"/>
      <c r="E1" s="24"/>
      <c r="F1" s="24"/>
    </row>
    <row r="2" customFormat="false" ht="15" hidden="false" customHeight="true" outlineLevel="0" collapsed="false">
      <c r="A2" s="8"/>
      <c r="B2" s="8"/>
      <c r="C2" s="8"/>
      <c r="D2" s="8"/>
      <c r="E2" s="8"/>
      <c r="F2" s="8"/>
    </row>
    <row r="3" customFormat="false" ht="15" hidden="false" customHeight="true" outlineLevel="0" collapsed="false">
      <c r="A3" s="25" t="s">
        <v>14</v>
      </c>
      <c r="B3" s="25" t="s">
        <v>67</v>
      </c>
      <c r="C3" s="25" t="s">
        <v>15</v>
      </c>
      <c r="D3" s="25" t="s">
        <v>16</v>
      </c>
      <c r="E3" s="25" t="s">
        <v>17</v>
      </c>
      <c r="F3" s="25" t="s">
        <v>18</v>
      </c>
    </row>
    <row r="4" customFormat="false" ht="15" hidden="false" customHeight="true" outlineLevel="0" collapsed="false">
      <c r="A4" s="8" t="n">
        <v>1</v>
      </c>
      <c r="B4" s="8" t="s">
        <v>68</v>
      </c>
      <c r="C4" s="8" t="s">
        <v>69</v>
      </c>
      <c r="D4" s="8" t="s">
        <v>70</v>
      </c>
      <c r="E4" s="8" t="s">
        <v>71</v>
      </c>
      <c r="F4" s="8" t="s">
        <v>72</v>
      </c>
    </row>
    <row r="5" customFormat="false" ht="15" hidden="false" customHeight="true" outlineLevel="0" collapsed="false">
      <c r="A5" s="8" t="n">
        <v>2</v>
      </c>
      <c r="B5" s="8" t="s">
        <v>73</v>
      </c>
      <c r="C5" s="8" t="s">
        <v>74</v>
      </c>
      <c r="D5" s="8" t="s">
        <v>75</v>
      </c>
      <c r="E5" s="8" t="s">
        <v>76</v>
      </c>
      <c r="F5" s="8" t="s">
        <v>77</v>
      </c>
    </row>
    <row r="6" customFormat="false" ht="27.75" hidden="false" customHeight="true" outlineLevel="0" collapsed="false">
      <c r="A6" s="8" t="n">
        <v>3</v>
      </c>
      <c r="B6" s="8" t="s">
        <v>78</v>
      </c>
      <c r="C6" s="8" t="s">
        <v>79</v>
      </c>
      <c r="D6" s="8" t="s">
        <v>80</v>
      </c>
      <c r="E6" s="8" t="s">
        <v>81</v>
      </c>
      <c r="F6" s="8" t="s">
        <v>82</v>
      </c>
    </row>
    <row r="7" customFormat="false" ht="27.75" hidden="false" customHeight="true" outlineLevel="0" collapsed="false">
      <c r="A7" s="8" t="n">
        <v>4</v>
      </c>
      <c r="B7" s="8" t="s">
        <v>83</v>
      </c>
      <c r="C7" s="8" t="s">
        <v>84</v>
      </c>
      <c r="D7" s="8" t="s">
        <v>85</v>
      </c>
      <c r="E7" s="8" t="s">
        <v>86</v>
      </c>
      <c r="F7" s="8" t="s">
        <v>87</v>
      </c>
    </row>
    <row r="8" customFormat="false" ht="27.75" hidden="false" customHeight="true" outlineLevel="0" collapsed="false">
      <c r="A8" s="8" t="n">
        <v>5</v>
      </c>
      <c r="B8" s="8" t="s">
        <v>88</v>
      </c>
      <c r="C8" s="8" t="s">
        <v>89</v>
      </c>
      <c r="D8" s="8" t="s">
        <v>90</v>
      </c>
      <c r="E8" s="8" t="s">
        <v>91</v>
      </c>
      <c r="F8" s="8" t="s">
        <v>92</v>
      </c>
    </row>
    <row r="9" customFormat="false" ht="15" hidden="false" customHeight="true" outlineLevel="0" collapsed="false">
      <c r="A9" s="8"/>
      <c r="B9" s="8"/>
      <c r="C9" s="8"/>
      <c r="D9" s="8"/>
      <c r="E9" s="8"/>
      <c r="F9" s="8"/>
    </row>
    <row r="10" customFormat="false" ht="15" hidden="false" customHeight="true" outlineLevel="0" collapsed="false">
      <c r="A10" s="8"/>
      <c r="B10" s="8"/>
      <c r="C10" s="8"/>
      <c r="D10" s="8"/>
      <c r="E10" s="8"/>
      <c r="F10" s="8"/>
    </row>
    <row r="11" customFormat="false" ht="15" hidden="false" customHeight="true" outlineLevel="0" collapsed="false">
      <c r="A11" s="26" t="s">
        <v>19</v>
      </c>
      <c r="B11" s="8"/>
      <c r="C11" s="8"/>
      <c r="D11" s="8"/>
      <c r="E11" s="8"/>
      <c r="F11" s="8"/>
    </row>
    <row r="12" customFormat="false" ht="15" hidden="false" customHeight="true" outlineLevel="0" collapsed="false">
      <c r="A12" s="8" t="s">
        <v>93</v>
      </c>
      <c r="B12" s="8" t="s">
        <v>68</v>
      </c>
      <c r="C12" s="27" t="s">
        <v>94</v>
      </c>
      <c r="D12" s="27"/>
      <c r="E12" s="27"/>
      <c r="F12" s="27"/>
    </row>
    <row r="13" customFormat="false" ht="15" hidden="false" customHeight="true" outlineLevel="0" collapsed="false">
      <c r="A13" s="8" t="s">
        <v>95</v>
      </c>
      <c r="B13" s="8" t="s">
        <v>73</v>
      </c>
      <c r="C13" s="27" t="s">
        <v>96</v>
      </c>
      <c r="D13" s="27"/>
      <c r="E13" s="27"/>
      <c r="F13" s="27"/>
    </row>
    <row r="14" customFormat="false" ht="15" hidden="false" customHeight="true" outlineLevel="0" collapsed="false">
      <c r="A14" s="8" t="s">
        <v>97</v>
      </c>
      <c r="B14" s="8" t="s">
        <v>78</v>
      </c>
      <c r="C14" s="27" t="s">
        <v>98</v>
      </c>
      <c r="D14" s="27"/>
      <c r="E14" s="27"/>
      <c r="F14" s="27"/>
    </row>
    <row r="15" customFormat="false" ht="15" hidden="false" customHeight="true" outlineLevel="0" collapsed="false">
      <c r="A15" s="8" t="s">
        <v>99</v>
      </c>
      <c r="B15" s="8" t="s">
        <v>83</v>
      </c>
      <c r="C15" s="27" t="s">
        <v>100</v>
      </c>
      <c r="D15" s="27"/>
      <c r="E15" s="27"/>
      <c r="F15" s="27"/>
    </row>
    <row r="16" customFormat="false" ht="15" hidden="false" customHeight="true" outlineLevel="0" collapsed="false">
      <c r="A16" s="8" t="s">
        <v>101</v>
      </c>
      <c r="B16" s="8" t="s">
        <v>88</v>
      </c>
      <c r="C16" s="27" t="s">
        <v>102</v>
      </c>
      <c r="D16" s="27"/>
      <c r="E16" s="27"/>
      <c r="F16" s="27"/>
    </row>
    <row r="17" customFormat="false" ht="15" hidden="false" customHeight="true" outlineLevel="0" collapsed="false">
      <c r="A17" s="8"/>
      <c r="B17" s="8"/>
      <c r="C17" s="8"/>
      <c r="D17" s="8"/>
      <c r="E17" s="8"/>
      <c r="F17" s="8"/>
    </row>
    <row r="18" customFormat="false" ht="15" hidden="false" customHeight="true" outlineLevel="0" collapsed="false">
      <c r="A18" s="8"/>
      <c r="B18" s="8"/>
      <c r="C18" s="8"/>
      <c r="D18" s="8"/>
      <c r="E18" s="8"/>
      <c r="F18" s="8"/>
    </row>
    <row r="19" customFormat="false" ht="15" hidden="false" customHeight="true" outlineLevel="0" collapsed="false">
      <c r="A19" s="26" t="s">
        <v>103</v>
      </c>
      <c r="B19" s="8"/>
      <c r="C19" s="8"/>
      <c r="D19" s="8"/>
      <c r="E19" s="8"/>
      <c r="F19" s="8"/>
    </row>
    <row r="20" customFormat="false" ht="15" hidden="false" customHeight="true" outlineLevel="0" collapsed="false">
      <c r="A20" s="8" t="s">
        <v>104</v>
      </c>
      <c r="B20" s="8" t="s">
        <v>73</v>
      </c>
      <c r="C20" s="8"/>
      <c r="D20" s="8"/>
      <c r="E20" s="8"/>
      <c r="F20" s="8"/>
    </row>
    <row r="21" customFormat="false" ht="15" hidden="false" customHeight="true" outlineLevel="0" collapsed="false">
      <c r="A21" s="8" t="s">
        <v>105</v>
      </c>
      <c r="B21" s="8" t="s">
        <v>106</v>
      </c>
      <c r="C21" s="8"/>
      <c r="D21" s="8"/>
      <c r="E21" s="8"/>
      <c r="F21" s="8"/>
    </row>
    <row r="22" customFormat="false" ht="15" hidden="false" customHeight="true" outlineLevel="0" collapsed="false">
      <c r="A22" s="8" t="s">
        <v>107</v>
      </c>
      <c r="B22" s="8" t="s">
        <v>78</v>
      </c>
      <c r="C22" s="8"/>
      <c r="D22" s="8"/>
      <c r="E22" s="8"/>
      <c r="F22" s="8"/>
    </row>
    <row r="23" customFormat="false" ht="15" hidden="false" customHeight="true" outlineLevel="0" collapsed="false">
      <c r="A23" s="8" t="s">
        <v>108</v>
      </c>
      <c r="B23" s="8" t="s">
        <v>83</v>
      </c>
      <c r="C23" s="8"/>
      <c r="D23" s="8"/>
      <c r="E23" s="8"/>
      <c r="F23" s="8"/>
    </row>
    <row r="24" customFormat="false" ht="15" hidden="false" customHeight="true" outlineLevel="0" collapsed="false">
      <c r="A24" s="8" t="s">
        <v>109</v>
      </c>
      <c r="B24" s="8" t="s">
        <v>110</v>
      </c>
      <c r="C24" s="8"/>
      <c r="D24" s="8"/>
      <c r="E24" s="8"/>
      <c r="F24" s="8"/>
    </row>
  </sheetData>
  <mergeCells count="6">
    <mergeCell ref="A1:F1"/>
    <mergeCell ref="C12:F12"/>
    <mergeCell ref="C13:F13"/>
    <mergeCell ref="C14:F14"/>
    <mergeCell ref="C15:F15"/>
    <mergeCell ref="C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4"/>
    <col collapsed="false" customWidth="true" hidden="false" outlineLevel="0" max="3" min="3" style="1" width="55"/>
    <col collapsed="false" customWidth="true" hidden="false" outlineLevel="0" max="4" min="4" style="1" width="36"/>
    <col collapsed="false" customWidth="true" hidden="false" outlineLevel="0" max="6" min="5" style="1" width="30"/>
  </cols>
  <sheetData>
    <row r="1" customFormat="false" ht="19.5" hidden="false" customHeight="true" outlineLevel="0" collapsed="false">
      <c r="A1" s="28" t="s">
        <v>111</v>
      </c>
      <c r="B1" s="28"/>
      <c r="C1" s="28"/>
    </row>
    <row r="2" customFormat="false" ht="15" hidden="false" customHeight="true" outlineLevel="0" collapsed="false">
      <c r="A2" s="29"/>
      <c r="B2" s="29"/>
      <c r="C2" s="29"/>
    </row>
    <row r="3" customFormat="false" ht="15" hidden="false" customHeight="true" outlineLevel="0" collapsed="false">
      <c r="A3" s="6" t="s">
        <v>112</v>
      </c>
      <c r="B3" s="6" t="s">
        <v>113</v>
      </c>
      <c r="C3" s="6" t="s">
        <v>114</v>
      </c>
    </row>
    <row r="4" customFormat="false" ht="15" hidden="false" customHeight="true" outlineLevel="0" collapsed="false">
      <c r="A4" s="30" t="s">
        <v>115</v>
      </c>
      <c r="B4" s="30" t="n">
        <f aca="false">SUM(Assessment!C12:C16)</f>
        <v>15</v>
      </c>
      <c r="C4" s="30" t="s">
        <v>116</v>
      </c>
    </row>
    <row r="5" customFormat="false" ht="15" hidden="false" customHeight="true" outlineLevel="0" collapsed="false">
      <c r="A5" s="30" t="s">
        <v>117</v>
      </c>
      <c r="B5" s="30" t="n">
        <f aca="false">ROUND(AVERAGE(Assessment!C12:C16),2)</f>
        <v>3</v>
      </c>
      <c r="C5" s="30" t="s">
        <v>118</v>
      </c>
    </row>
    <row r="6" customFormat="false" ht="15" hidden="false" customHeight="true" outlineLevel="0" collapsed="false">
      <c r="A6" s="30" t="s">
        <v>6</v>
      </c>
      <c r="B6" s="30" t="str">
        <f aca="false">IF(B5&lt;1.8,"Low",IF(B5&lt;2.6,"Low-Moderate",IF(B5&lt;3.4,"Moderate",IF(B5&lt;4.2,"High","Critical"))))</f>
        <v>Moderate</v>
      </c>
      <c r="C6" s="30" t="s">
        <v>119</v>
      </c>
    </row>
    <row r="7" customFormat="false" ht="15" hidden="false" customHeight="true" outlineLevel="0" collapsed="false">
      <c r="A7" s="30" t="s">
        <v>10</v>
      </c>
      <c r="B7" s="30" t="n">
        <f aca="false">COUNTIF(Assessment!B20,"Yes")+COUNTIF(Assessment!B22,"Yes")+COUNTIF(Assessment!B23,"Yes")</f>
        <v>0</v>
      </c>
      <c r="C7" s="30" t="s">
        <v>120</v>
      </c>
    </row>
    <row r="8" customFormat="false" ht="15" hidden="false" customHeight="true" outlineLevel="0" collapsed="false">
      <c r="A8" s="30" t="s">
        <v>121</v>
      </c>
      <c r="B8" s="30" t="str">
        <f aca="false">IF(B7&gt;0,"Review / Document","No override flagged")</f>
        <v>No override flagged</v>
      </c>
      <c r="C8" s="30" t="s">
        <v>122</v>
      </c>
    </row>
    <row r="9" customFormat="false" ht="15" hidden="false" customHeight="true" outlineLevel="0" collapsed="false">
      <c r="A9" s="29"/>
      <c r="B9" s="29"/>
      <c r="C9" s="29"/>
    </row>
    <row r="10" customFormat="false" ht="15" hidden="false" customHeight="true" outlineLevel="0" collapsed="false">
      <c r="A10" s="6" t="s">
        <v>123</v>
      </c>
      <c r="B10" s="6" t="s">
        <v>124</v>
      </c>
      <c r="C10" s="6" t="s">
        <v>125</v>
      </c>
    </row>
    <row r="11" customFormat="false" ht="15" hidden="false" customHeight="true" outlineLevel="0" collapsed="false">
      <c r="A11" s="31" t="s">
        <v>73</v>
      </c>
      <c r="B11" s="32" t="s">
        <v>104</v>
      </c>
      <c r="C11" s="30" t="s">
        <v>126</v>
      </c>
    </row>
    <row r="12" customFormat="false" ht="15" hidden="false" customHeight="true" outlineLevel="0" collapsed="false">
      <c r="A12" s="31" t="s">
        <v>106</v>
      </c>
      <c r="B12" s="32" t="s">
        <v>105</v>
      </c>
      <c r="C12" s="30" t="s">
        <v>127</v>
      </c>
    </row>
    <row r="13" customFormat="false" ht="15" hidden="false" customHeight="true" outlineLevel="0" collapsed="false">
      <c r="A13" s="30" t="s">
        <v>78</v>
      </c>
      <c r="B13" s="30" t="s">
        <v>107</v>
      </c>
      <c r="C13" s="30" t="s">
        <v>128</v>
      </c>
    </row>
    <row r="14" customFormat="false" ht="15" hidden="false" customHeight="true" outlineLevel="0" collapsed="false">
      <c r="A14" s="31" t="s">
        <v>83</v>
      </c>
      <c r="B14" s="32" t="s">
        <v>108</v>
      </c>
      <c r="C14" s="30" t="s">
        <v>129</v>
      </c>
    </row>
    <row r="15" customFormat="false" ht="27.75" hidden="false" customHeight="true" outlineLevel="0" collapsed="false">
      <c r="A15" s="31" t="s">
        <v>110</v>
      </c>
      <c r="B15" s="32" t="s">
        <v>109</v>
      </c>
      <c r="C15" s="30" t="s">
        <v>130</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4"/>
    <col collapsed="false" customWidth="true" hidden="false" outlineLevel="0" max="3" min="3" style="1" width="54"/>
    <col collapsed="false" customWidth="true" hidden="false" outlineLevel="0" max="4" min="4" style="1" width="48"/>
    <col collapsed="false" customWidth="true" hidden="false" outlineLevel="0" max="6" min="5" style="1" width="30"/>
  </cols>
  <sheetData>
    <row r="1" customFormat="false" ht="19.5" hidden="false" customHeight="true" outlineLevel="0" collapsed="false">
      <c r="A1" s="24" t="s">
        <v>131</v>
      </c>
      <c r="B1" s="24"/>
      <c r="C1" s="24"/>
      <c r="D1" s="24"/>
    </row>
    <row r="2" customFormat="false" ht="15" hidden="false" customHeight="true" outlineLevel="0" collapsed="false">
      <c r="A2" s="8"/>
      <c r="B2" s="8"/>
      <c r="C2" s="8"/>
      <c r="D2" s="8"/>
    </row>
    <row r="3" customFormat="false" ht="15" hidden="false" customHeight="true" outlineLevel="0" collapsed="false">
      <c r="A3" s="6" t="s">
        <v>132</v>
      </c>
      <c r="B3" s="6" t="s">
        <v>133</v>
      </c>
      <c r="C3" s="6" t="s">
        <v>134</v>
      </c>
      <c r="D3" s="6" t="s">
        <v>135</v>
      </c>
    </row>
    <row r="4" customFormat="false" ht="45" hidden="false" customHeight="true" outlineLevel="0" collapsed="false">
      <c r="A4" s="33" t="s">
        <v>136</v>
      </c>
      <c r="B4" s="33" t="str">
        <f aca="false">'Risk Calculation'!B6</f>
        <v>Moderate</v>
      </c>
      <c r="C4" s="33" t="s">
        <v>137</v>
      </c>
      <c r="D4" s="33" t="s">
        <v>138</v>
      </c>
    </row>
    <row r="5" customFormat="false" ht="45" hidden="false" customHeight="true" outlineLevel="0" collapsed="false">
      <c r="A5" s="33" t="s">
        <v>11</v>
      </c>
      <c r="B5" s="33" t="str">
        <f aca="false">'Risk Calculation'!B8</f>
        <v>No override flagged</v>
      </c>
      <c r="C5" s="33" t="s">
        <v>139</v>
      </c>
      <c r="D5" s="33" t="s">
        <v>140</v>
      </c>
    </row>
    <row r="6" customFormat="false" ht="45" hidden="false" customHeight="true" outlineLevel="0" collapsed="false">
      <c r="A6" s="33" t="s">
        <v>7</v>
      </c>
      <c r="B6" s="33" t="str">
        <f aca="false">IF('Risk Calculation'!B5&gt;=3.4,"Tier 1",IF('Risk Calculation'!B5&gt;=2.6,"Tier 2","Tier 3"))</f>
        <v>Tier 2</v>
      </c>
      <c r="C6" s="33" t="s">
        <v>141</v>
      </c>
      <c r="D6" s="33" t="s">
        <v>142</v>
      </c>
    </row>
    <row r="7" customFormat="false" ht="45" hidden="false" customHeight="true" outlineLevel="0" collapsed="false">
      <c r="A7" s="33" t="s">
        <v>8</v>
      </c>
      <c r="B7" s="33" t="str">
        <f aca="false">IF(B6="Tier 1","Enhanced",IF(B6="Tier 2","Standard","Simplified"))</f>
        <v>Standard</v>
      </c>
      <c r="C7" s="33" t="s">
        <v>143</v>
      </c>
      <c r="D7" s="33" t="s">
        <v>144</v>
      </c>
    </row>
    <row r="8" customFormat="false" ht="45" hidden="false" customHeight="true" outlineLevel="0" collapsed="false">
      <c r="A8" s="34" t="s">
        <v>9</v>
      </c>
      <c r="B8" s="33" t="str">
        <f aca="false">IF(B6="Tier 1","Continuous / at least annual formal review",IF(B6="Tier 2","Periodic review","Periodic / simplified review"))</f>
        <v>Periodic review</v>
      </c>
      <c r="C8" s="33" t="s">
        <v>145</v>
      </c>
      <c r="D8" s="33" t="s">
        <v>146</v>
      </c>
    </row>
    <row r="9" customFormat="false" ht="45" hidden="false" customHeight="true" outlineLevel="0" collapsed="false">
      <c r="A9" s="34" t="s">
        <v>147</v>
      </c>
      <c r="B9" s="33" t="str">
        <f aca="false">IF(B6="Tier 1","Proceed only with enhanced review and approval",IF(B6="Tier 2","Proceed with standard due diligence","Proceed with simplified due diligence"))</f>
        <v>Proceed with standard due diligence</v>
      </c>
      <c r="C9" s="33" t="s">
        <v>148</v>
      </c>
      <c r="D9" s="33" t="s">
        <v>149</v>
      </c>
    </row>
    <row r="10" customFormat="false" ht="15" hidden="false" customHeight="true" outlineLevel="0" collapsed="false">
      <c r="A10" s="8"/>
      <c r="B10" s="8"/>
      <c r="C10" s="8"/>
      <c r="D10" s="8"/>
    </row>
    <row r="11" customFormat="false" ht="15" hidden="false" customHeight="true" outlineLevel="0" collapsed="false">
      <c r="A11" s="26" t="s">
        <v>150</v>
      </c>
      <c r="B11" s="27" t="s">
        <v>151</v>
      </c>
      <c r="C11" s="27"/>
      <c r="D11" s="27"/>
    </row>
    <row r="12" customFormat="false" ht="15" hidden="false" customHeight="true" outlineLevel="0" collapsed="false">
      <c r="A12" s="8"/>
      <c r="B12" s="27"/>
      <c r="C12" s="27"/>
      <c r="D12" s="27"/>
    </row>
    <row r="13" customFormat="false" ht="15" hidden="false" customHeight="true" outlineLevel="0" collapsed="false">
      <c r="A13" s="8"/>
      <c r="B13" s="27"/>
      <c r="C13" s="27"/>
      <c r="D13" s="27"/>
    </row>
  </sheetData>
  <mergeCells count="2">
    <mergeCell ref="A1:D1"/>
    <mergeCell ref="B11: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42"/>
    <col collapsed="false" customWidth="true" hidden="false" outlineLevel="0" max="6" min="3" style="1" width="20"/>
  </cols>
  <sheetData>
    <row r="1" customFormat="false" ht="19.5" hidden="false" customHeight="true" outlineLevel="0" collapsed="false">
      <c r="A1" s="24" t="s">
        <v>152</v>
      </c>
      <c r="B1" s="24"/>
      <c r="C1" s="24"/>
      <c r="D1" s="24"/>
      <c r="E1" s="24"/>
      <c r="F1" s="24"/>
    </row>
    <row r="2" customFormat="false" ht="15" hidden="false" customHeight="true" outlineLevel="0" collapsed="false">
      <c r="A2" s="8"/>
      <c r="B2" s="8"/>
      <c r="C2" s="8"/>
      <c r="D2" s="8"/>
      <c r="E2" s="8"/>
      <c r="F2" s="8"/>
    </row>
    <row r="3" customFormat="false" ht="15" hidden="false" customHeight="true" outlineLevel="0" collapsed="false">
      <c r="A3" s="35" t="s">
        <v>153</v>
      </c>
      <c r="B3" s="33" t="s">
        <v>154</v>
      </c>
      <c r="C3" s="33"/>
      <c r="D3" s="33"/>
      <c r="E3" s="33"/>
      <c r="F3" s="33"/>
    </row>
    <row r="4" customFormat="false" ht="15" hidden="false" customHeight="true" outlineLevel="0" collapsed="false">
      <c r="A4" s="35" t="s">
        <v>155</v>
      </c>
      <c r="B4" s="33" t="s">
        <v>156</v>
      </c>
      <c r="C4" s="33"/>
      <c r="D4" s="33"/>
      <c r="E4" s="33"/>
      <c r="F4" s="33"/>
    </row>
    <row r="5" customFormat="false" ht="15" hidden="false" customHeight="true" outlineLevel="0" collapsed="false">
      <c r="A5" s="35" t="s">
        <v>157</v>
      </c>
      <c r="B5" s="33" t="s">
        <v>158</v>
      </c>
      <c r="C5" s="33"/>
      <c r="D5" s="33"/>
      <c r="E5" s="33"/>
      <c r="F5" s="33"/>
    </row>
    <row r="6" customFormat="false" ht="15" hidden="false" customHeight="true" outlineLevel="0" collapsed="false">
      <c r="A6" s="35" t="s">
        <v>159</v>
      </c>
      <c r="B6" s="33" t="s">
        <v>160</v>
      </c>
      <c r="C6" s="33"/>
      <c r="D6" s="33"/>
      <c r="E6" s="33"/>
      <c r="F6" s="33"/>
    </row>
    <row r="7" customFormat="false" ht="15" hidden="false" customHeight="true" outlineLevel="0" collapsed="false">
      <c r="A7" s="35" t="s">
        <v>161</v>
      </c>
      <c r="B7" s="33" t="s">
        <v>162</v>
      </c>
      <c r="C7" s="33"/>
      <c r="D7" s="33"/>
      <c r="E7" s="33"/>
      <c r="F7" s="33"/>
    </row>
    <row r="8" customFormat="false" ht="15" hidden="false" customHeight="true" outlineLevel="0" collapsed="false">
      <c r="A8" s="35" t="s">
        <v>163</v>
      </c>
      <c r="B8" s="33" t="s">
        <v>164</v>
      </c>
      <c r="C8" s="33"/>
      <c r="D8" s="33"/>
      <c r="E8" s="33"/>
      <c r="F8" s="33"/>
    </row>
    <row r="9" customFormat="false" ht="15" hidden="false" customHeight="true" outlineLevel="0" collapsed="false">
      <c r="A9" s="35" t="s">
        <v>165</v>
      </c>
      <c r="B9" s="33" t="s">
        <v>166</v>
      </c>
      <c r="C9" s="33"/>
      <c r="D9" s="33"/>
      <c r="E9" s="33"/>
      <c r="F9" s="33"/>
    </row>
    <row r="10" customFormat="false" ht="15" hidden="false" customHeight="true" outlineLevel="0" collapsed="false">
      <c r="A10" s="35" t="s">
        <v>150</v>
      </c>
      <c r="B10" s="33" t="s">
        <v>167</v>
      </c>
      <c r="C10" s="33"/>
      <c r="D10" s="33"/>
      <c r="E10" s="33"/>
      <c r="F10" s="33"/>
    </row>
    <row r="11" customFormat="false" ht="15" hidden="false" customHeight="true" outlineLevel="0" collapsed="false">
      <c r="A11" s="36" t="s">
        <v>168</v>
      </c>
      <c r="B11" s="33" t="s">
        <v>169</v>
      </c>
      <c r="C11" s="33"/>
      <c r="D11" s="33"/>
      <c r="E11" s="33"/>
      <c r="F11" s="33"/>
    </row>
    <row r="12" customFormat="false" ht="15" hidden="false" customHeight="true" outlineLevel="0" collapsed="false">
      <c r="A12" s="36" t="s">
        <v>170</v>
      </c>
      <c r="B12" s="33" t="s">
        <v>171</v>
      </c>
      <c r="C12" s="33"/>
      <c r="D12" s="33"/>
      <c r="E12" s="33"/>
      <c r="F12" s="33"/>
    </row>
  </sheetData>
  <mergeCells count="11">
    <mergeCell ref="A1:F1"/>
    <mergeCell ref="B3:F3"/>
    <mergeCell ref="B4:F4"/>
    <mergeCell ref="B5:F5"/>
    <mergeCell ref="B6:F6"/>
    <mergeCell ref="B7:F7"/>
    <mergeCell ref="B8:F8"/>
    <mergeCell ref="B9:F9"/>
    <mergeCell ref="B10:F10"/>
    <mergeCell ref="B11:F11"/>
    <mergeCell ref="B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14"/>
    <col collapsed="false" customWidth="true" hidden="false" outlineLevel="0" max="4" min="4" style="1" width="16"/>
    <col collapsed="false" customWidth="true" hidden="false" outlineLevel="0" max="5" min="5" style="1" width="34"/>
  </cols>
  <sheetData>
    <row r="1" customFormat="false" ht="27.75" hidden="false" customHeight="true" outlineLevel="0" collapsed="false">
      <c r="A1" s="37" t="s">
        <v>172</v>
      </c>
      <c r="B1" s="37"/>
      <c r="C1" s="37"/>
      <c r="D1" s="37"/>
      <c r="E1" s="37"/>
    </row>
    <row r="2" customFormat="false" ht="15" hidden="false" customHeight="true" outlineLevel="0" collapsed="false">
      <c r="A2" s="38" t="s">
        <v>173</v>
      </c>
      <c r="B2" s="38"/>
      <c r="C2" s="38"/>
      <c r="D2" s="38"/>
      <c r="E2" s="38"/>
    </row>
    <row r="4" customFormat="false" ht="15" hidden="false" customHeight="true" outlineLevel="0" collapsed="false">
      <c r="A4" s="39" t="s">
        <v>174</v>
      </c>
      <c r="B4" s="39"/>
      <c r="C4" s="39"/>
      <c r="D4" s="39"/>
      <c r="E4" s="39"/>
    </row>
    <row r="6" customFormat="false" ht="23.25" hidden="false" customHeight="true" outlineLevel="0" collapsed="false">
      <c r="A6" s="40" t="s">
        <v>175</v>
      </c>
      <c r="B6" s="40" t="s">
        <v>176</v>
      </c>
      <c r="C6" s="40" t="s">
        <v>177</v>
      </c>
      <c r="D6" s="40" t="s">
        <v>178</v>
      </c>
      <c r="E6" s="40" t="s">
        <v>179</v>
      </c>
    </row>
    <row r="7" customFormat="false" ht="23.25" hidden="false" customHeight="true" outlineLevel="0" collapsed="false">
      <c r="A7" s="41" t="s">
        <v>180</v>
      </c>
      <c r="B7" s="42" t="s">
        <v>181</v>
      </c>
      <c r="C7" s="43" t="n">
        <v>4</v>
      </c>
      <c r="D7" s="44" t="s">
        <v>182</v>
      </c>
      <c r="E7" s="43"/>
    </row>
    <row r="8" customFormat="false" ht="15" hidden="false" customHeight="true" outlineLevel="0" collapsed="false">
      <c r="A8" s="41" t="s">
        <v>183</v>
      </c>
      <c r="B8" s="42" t="s">
        <v>184</v>
      </c>
      <c r="C8" s="43" t="n">
        <v>4</v>
      </c>
      <c r="D8" s="44" t="s">
        <v>182</v>
      </c>
      <c r="E8" s="43"/>
    </row>
    <row r="9" customFormat="false" ht="23.25" hidden="false" customHeight="true" outlineLevel="0" collapsed="false">
      <c r="A9" s="41" t="s">
        <v>185</v>
      </c>
      <c r="B9" s="42" t="s">
        <v>186</v>
      </c>
      <c r="C9" s="43" t="n">
        <v>3</v>
      </c>
      <c r="D9" s="44" t="s">
        <v>182</v>
      </c>
      <c r="E9" s="43"/>
    </row>
    <row r="10" customFormat="false" ht="15" hidden="false" customHeight="true" outlineLevel="0" collapsed="false">
      <c r="A10" s="41" t="s">
        <v>187</v>
      </c>
      <c r="B10" s="42" t="s">
        <v>188</v>
      </c>
      <c r="C10" s="43" t="n">
        <v>3</v>
      </c>
      <c r="D10" s="44" t="s">
        <v>182</v>
      </c>
      <c r="E10" s="43"/>
    </row>
    <row r="11" customFormat="false" ht="15" hidden="false" customHeight="true" outlineLevel="0" collapsed="false">
      <c r="A11" s="41" t="s">
        <v>189</v>
      </c>
      <c r="B11" s="42" t="s">
        <v>190</v>
      </c>
      <c r="C11" s="43" t="n">
        <v>3</v>
      </c>
      <c r="D11" s="44" t="s">
        <v>182</v>
      </c>
      <c r="E11" s="43"/>
    </row>
    <row r="12" customFormat="false" ht="15" hidden="false" customHeight="true" outlineLevel="0" collapsed="false">
      <c r="A12" s="41" t="s">
        <v>191</v>
      </c>
      <c r="B12" s="42" t="s">
        <v>192</v>
      </c>
      <c r="C12" s="43" t="n">
        <v>2</v>
      </c>
      <c r="D12" s="44" t="s">
        <v>182</v>
      </c>
      <c r="E12" s="43"/>
    </row>
    <row r="13" customFormat="false" ht="15" hidden="false" customHeight="true" outlineLevel="0" collapsed="false">
      <c r="A13" s="41" t="s">
        <v>193</v>
      </c>
      <c r="B13" s="42" t="s">
        <v>194</v>
      </c>
      <c r="C13" s="43" t="n">
        <v>4</v>
      </c>
      <c r="D13" s="44" t="s">
        <v>182</v>
      </c>
      <c r="E13" s="43"/>
    </row>
    <row r="14" customFormat="false" ht="15" hidden="false" customHeight="true" outlineLevel="0" collapsed="false">
      <c r="A14" s="41" t="s">
        <v>195</v>
      </c>
      <c r="B14" s="42" t="s">
        <v>196</v>
      </c>
      <c r="C14" s="43" t="n">
        <v>4</v>
      </c>
      <c r="D14" s="44" t="s">
        <v>182</v>
      </c>
      <c r="E14" s="43"/>
    </row>
    <row r="16" customFormat="false" ht="15" hidden="false" customHeight="true" outlineLevel="0" collapsed="false">
      <c r="A16" s="45" t="s">
        <v>112</v>
      </c>
      <c r="B16" s="45" t="s">
        <v>113</v>
      </c>
    </row>
    <row r="17" customFormat="false" ht="15" hidden="false" customHeight="true" outlineLevel="0" collapsed="false">
      <c r="A17" s="12" t="s">
        <v>197</v>
      </c>
      <c r="B17" s="46" t="n">
        <f aca="false">SUM(C7:C14)</f>
        <v>27</v>
      </c>
    </row>
    <row r="18" customFormat="false" ht="15" hidden="false" customHeight="true" outlineLevel="0" collapsed="false">
      <c r="A18" s="12" t="s">
        <v>198</v>
      </c>
      <c r="B18" s="46" t="n">
        <f aca="false">ROUND(AVERAGE(C7:C14),2)</f>
        <v>3.38</v>
      </c>
    </row>
    <row r="19" customFormat="false" ht="15" hidden="false" customHeight="true" outlineLevel="0" collapsed="false">
      <c r="A19" s="12" t="s">
        <v>199</v>
      </c>
      <c r="B19" s="46" t="str">
        <f aca="false">IF(B18&lt;2.6,"Weak",IF(B18&lt;3.8,"Partial","Strong"))</f>
        <v>Partial</v>
      </c>
    </row>
  </sheetData>
  <mergeCells count="3">
    <mergeCell ref="A1:E1"/>
    <mergeCell ref="A2:E2"/>
    <mergeCell ref="A4:E4"/>
  </mergeCells>
  <dataValidations count="2">
    <dataValidation allowBlank="false" errorStyle="stop" operator="between" showDropDown="false" showErrorMessage="false" showInputMessage="false" sqref="C7:C14" type="list">
      <formula1>"1,2,3,4,5"</formula1>
      <formula2>0</formula2>
    </dataValidation>
    <dataValidation allowBlank="false" errorStyle="stop" operator="between" showDropDown="false" showErrorMessage="false" showInputMessage="false" sqref="D7:D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20"/>
  </cols>
  <sheetData>
    <row r="1" customFormat="false" ht="27.75" hidden="false" customHeight="true" outlineLevel="0" collapsed="false">
      <c r="A1" s="37" t="s">
        <v>200</v>
      </c>
      <c r="B1" s="37"/>
      <c r="C1" s="37"/>
      <c r="D1" s="37"/>
    </row>
    <row r="2" customFormat="false" ht="15" hidden="false" customHeight="true" outlineLevel="0" collapsed="false">
      <c r="A2" s="38" t="s">
        <v>201</v>
      </c>
      <c r="B2" s="38"/>
      <c r="C2" s="38"/>
      <c r="D2" s="38"/>
    </row>
    <row r="4" customFormat="false" ht="15" hidden="false" customHeight="true" outlineLevel="0" collapsed="false">
      <c r="A4" s="45" t="s">
        <v>112</v>
      </c>
      <c r="B4" s="45" t="s">
        <v>113</v>
      </c>
    </row>
    <row r="5" customFormat="false" ht="15" hidden="false" customHeight="true" outlineLevel="0" collapsed="false">
      <c r="A5" s="12" t="s">
        <v>136</v>
      </c>
      <c r="B5" s="47" t="str">
        <f aca="false">'Risk Calculation'!B6</f>
        <v>Moderate</v>
      </c>
    </row>
    <row r="6" customFormat="false" ht="15" hidden="false" customHeight="true" outlineLevel="0" collapsed="false">
      <c r="A6" s="12" t="s">
        <v>202</v>
      </c>
      <c r="B6" s="47" t="n">
        <f aca="false">'Control Evaluation'!B18</f>
        <v>3.38</v>
      </c>
    </row>
    <row r="7" customFormat="false" ht="15" hidden="false" customHeight="true" outlineLevel="0" collapsed="false">
      <c r="A7" s="12" t="s">
        <v>199</v>
      </c>
      <c r="B7" s="47" t="str">
        <f aca="false">'Control Evaluation'!B19</f>
        <v>Partial</v>
      </c>
    </row>
    <row r="9" customFormat="false" ht="15" hidden="false" customHeight="true" outlineLevel="0" collapsed="false">
      <c r="A9" s="12" t="s">
        <v>24</v>
      </c>
      <c r="B9" s="48" t="str">
        <f aca="false">INDEX(B14:D18,MATCH(B5,A14:A18,0),MATCH(B7,B13:D13,0))</f>
        <v>Low-Moderate</v>
      </c>
    </row>
    <row r="10" customFormat="false" ht="15" hidden="false" customHeight="true" outlineLevel="0" collapsed="false">
      <c r="A10" s="12" t="s">
        <v>25</v>
      </c>
      <c r="B10" s="48" t="str">
        <f aca="false">IF(OR(B9="High",B9="Critical"),"Tier 1",IF(B9="Moderate","Tier 2","Tier 3"))</f>
        <v>Tier 3</v>
      </c>
    </row>
    <row r="12" customFormat="false" ht="19.5" hidden="false" customHeight="true" outlineLevel="0" collapsed="false">
      <c r="A12" s="11" t="s">
        <v>203</v>
      </c>
      <c r="B12" s="11"/>
      <c r="C12" s="11"/>
      <c r="D12" s="11"/>
    </row>
    <row r="13" customFormat="false" ht="15" hidden="false" customHeight="true" outlineLevel="0" collapsed="false">
      <c r="A13" s="45" t="s">
        <v>204</v>
      </c>
      <c r="B13" s="45" t="s">
        <v>205</v>
      </c>
      <c r="C13" s="45" t="s">
        <v>206</v>
      </c>
      <c r="D13" s="45" t="s">
        <v>207</v>
      </c>
    </row>
    <row r="14" customFormat="false" ht="15" hidden="false" customHeight="true" outlineLevel="0" collapsed="false">
      <c r="A14" s="41" t="s">
        <v>73</v>
      </c>
      <c r="B14" s="41" t="s">
        <v>73</v>
      </c>
      <c r="C14" s="41" t="s">
        <v>73</v>
      </c>
      <c r="D14" s="41" t="s">
        <v>73</v>
      </c>
    </row>
    <row r="15" customFormat="false" ht="15" hidden="false" customHeight="true" outlineLevel="0" collapsed="false">
      <c r="A15" s="41" t="s">
        <v>106</v>
      </c>
      <c r="B15" s="41" t="s">
        <v>106</v>
      </c>
      <c r="C15" s="41" t="s">
        <v>73</v>
      </c>
      <c r="D15" s="41" t="s">
        <v>73</v>
      </c>
    </row>
    <row r="16" customFormat="false" ht="15" hidden="false" customHeight="true" outlineLevel="0" collapsed="false">
      <c r="A16" s="41" t="s">
        <v>78</v>
      </c>
      <c r="B16" s="41" t="s">
        <v>78</v>
      </c>
      <c r="C16" s="41" t="s">
        <v>106</v>
      </c>
      <c r="D16" s="41" t="s">
        <v>106</v>
      </c>
    </row>
    <row r="17" customFormat="false" ht="15" hidden="false" customHeight="true" outlineLevel="0" collapsed="false">
      <c r="A17" s="41" t="s">
        <v>83</v>
      </c>
      <c r="B17" s="41" t="s">
        <v>83</v>
      </c>
      <c r="C17" s="41" t="s">
        <v>78</v>
      </c>
      <c r="D17" s="41" t="s">
        <v>78</v>
      </c>
    </row>
    <row r="18" customFormat="false" ht="15" hidden="false" customHeight="true" outlineLevel="0" collapsed="false">
      <c r="A18" s="41" t="s">
        <v>110</v>
      </c>
      <c r="B18" s="41" t="s">
        <v>110</v>
      </c>
      <c r="C18" s="41" t="s">
        <v>83</v>
      </c>
      <c r="D18" s="41" t="s">
        <v>78</v>
      </c>
    </row>
    <row r="20" customFormat="false" ht="15" hidden="false" customHeight="true" outlineLevel="0" collapsed="false">
      <c r="A20" s="49" t="s">
        <v>208</v>
      </c>
      <c r="B20" s="49"/>
      <c r="C20" s="49"/>
      <c r="D20" s="49"/>
    </row>
    <row r="21" customFormat="false" ht="15" hidden="false" customHeight="true" outlineLevel="0" collapsed="false">
      <c r="A21" s="49"/>
      <c r="B21" s="49"/>
      <c r="C21" s="49"/>
      <c r="D21" s="49"/>
    </row>
    <row r="22" customFormat="false" ht="15" hidden="false" customHeight="true" outlineLevel="0" collapsed="false">
      <c r="A22" s="49"/>
      <c r="B22" s="49"/>
      <c r="C22" s="49"/>
      <c r="D22" s="49"/>
    </row>
  </sheetData>
  <mergeCells count="4">
    <mergeCell ref="A1:D1"/>
    <mergeCell ref="A2:D2"/>
    <mergeCell ref="A12:D12"/>
    <mergeCell ref="A20: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TPRM risk calculator</dc:title>
  <dc:subject/>
  <dc:creator>Olawale Akinbola</dc:creator>
  <dc:description/>
  <cp:lastModifiedBy/>
  <cp:revision>4</cp:revision>
  <dcterms:created xsi:type="dcterms:W3CDTF">2026-09-03T09:12:53Z</dcterms:created>
  <dcterms:modified xsi:type="dcterms:W3CDTF">2026-09-04T08:21:27Z</dcterms:modified>
  <dc:language>en-US</dc:language>
</cp:coreProperties>
</file>

<file path=docProps/custom.xml><?xml version="1.0" encoding="utf-8"?>
<Properties xmlns="http://schemas.openxmlformats.org/officeDocument/2006/custom-properties" xmlns:vt="http://schemas.openxmlformats.org/officeDocument/2006/docPropsVTypes"/>
</file>